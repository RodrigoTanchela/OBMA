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"/>
    </mc:Choice>
  </mc:AlternateContent>
  <xr:revisionPtr revIDLastSave="0" documentId="13_ncr:1_{F46C1C98-2194-4FC6-AB2D-D2B30444B04A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Sheet1" sheetId="1" r:id="rId1"/>
    <sheet name="Planilha1" sheetId="4" r:id="rId2"/>
    <sheet name="Planilha2" sheetId="5" r:id="rId3"/>
    <sheet name="Planilha3" sheetId="6" r:id="rId4"/>
  </sheets>
  <definedNames>
    <definedName name="_xlchart.v1.0" hidden="1">Planilha1!$AA$1</definedName>
    <definedName name="_xlchart.v1.1" hidden="1">Planilha1!$AC$3:$AC$32</definedName>
    <definedName name="_xlchart.v1.10" hidden="1">Planilha1!$C$1</definedName>
    <definedName name="_xlchart.v1.11" hidden="1">Planilha1!$E$3:$E$32</definedName>
    <definedName name="_xlchart.v1.12" hidden="1">Planilha1!$F$1</definedName>
    <definedName name="_xlchart.v1.13" hidden="1">Planilha1!$H$3:$H$32</definedName>
    <definedName name="_xlchart.v1.14" hidden="1">Planilha1!$K$3:$K$32</definedName>
    <definedName name="_xlchart.v1.15" hidden="1">Planilha1!$L$1</definedName>
    <definedName name="_xlchart.v1.16" hidden="1">Planilha1!$N$3:$N$32</definedName>
    <definedName name="_xlchart.v1.17" hidden="1">Planilha1!$O$1</definedName>
    <definedName name="_xlchart.v1.18" hidden="1">Planilha1!$Q$3:$Q$32</definedName>
    <definedName name="_xlchart.v1.19" hidden="1">Planilha1!$R$1</definedName>
    <definedName name="_xlchart.v1.2" hidden="1">Planilha1!$AD$1</definedName>
    <definedName name="_xlchart.v1.20" hidden="1">Planilha1!$T$3:$T$32</definedName>
    <definedName name="_xlchart.v1.21" hidden="1">Planilha1!$U$1</definedName>
    <definedName name="_xlchart.v1.22" hidden="1">Planilha1!$W$3:$W$32</definedName>
    <definedName name="_xlchart.v1.23" hidden="1">Planilha1!$X$1</definedName>
    <definedName name="_xlchart.v1.24" hidden="1">Planilha1!$Z$3:$Z$32</definedName>
    <definedName name="_xlchart.v1.25" hidden="1">Planilha1!$AC$3:$AC$32</definedName>
    <definedName name="_xlchart.v1.26" hidden="1">Planilha1!$AF$3:$AF$32</definedName>
    <definedName name="_xlchart.v1.27" hidden="1">Planilha1!$AI$3:$AI$32</definedName>
    <definedName name="_xlchart.v1.28" hidden="1">Planilha1!$AL$3:$AL$32</definedName>
    <definedName name="_xlchart.v1.29" hidden="1">Planilha1!$AO$3:$AO$32</definedName>
    <definedName name="_xlchart.v1.3" hidden="1">Planilha1!$AF$3:$AF$32</definedName>
    <definedName name="_xlchart.v1.30" hidden="1">Planilha1!$E$3:$E$32</definedName>
    <definedName name="_xlchart.v1.31" hidden="1">Planilha1!$H$3:$H$32</definedName>
    <definedName name="_xlchart.v1.32" hidden="1">Planilha1!$K$3:$K$32</definedName>
    <definedName name="_xlchart.v1.33" hidden="1">Planilha1!$N$3:$N$32</definedName>
    <definedName name="_xlchart.v1.34" hidden="1">Planilha1!$Q$3:$Q$32</definedName>
    <definedName name="_xlchart.v1.35" hidden="1">Planilha1!$T$3:$T$32</definedName>
    <definedName name="_xlchart.v1.36" hidden="1">Planilha1!$W$3:$W$32</definedName>
    <definedName name="_xlchart.v1.37" hidden="1">Planilha1!$Z$3:$Z$32</definedName>
    <definedName name="_xlchart.v1.38" hidden="1">Planilha3!$K:$K</definedName>
    <definedName name="_xlchart.v1.39" hidden="1">Planilha1!$AC$3:$AC$32</definedName>
    <definedName name="_xlchart.v1.4" hidden="1">Planilha1!$AG$1</definedName>
    <definedName name="_xlchart.v1.40" hidden="1">Planilha1!$AF$3:$AF$32</definedName>
    <definedName name="_xlchart.v1.41" hidden="1">Planilha1!$AI$3:$AI$32</definedName>
    <definedName name="_xlchart.v1.42" hidden="1">Planilha1!$AL$3:$AL$32</definedName>
    <definedName name="_xlchart.v1.43" hidden="1">Planilha1!$AO$3:$AO$32</definedName>
    <definedName name="_xlchart.v1.44" hidden="1">Planilha1!$E$3:$E$32</definedName>
    <definedName name="_xlchart.v1.45" hidden="1">Planilha1!$H$3:$H$32</definedName>
    <definedName name="_xlchart.v1.46" hidden="1">Planilha1!$K$3:$K$32</definedName>
    <definedName name="_xlchart.v1.47" hidden="1">Planilha1!$N$3:$N$32</definedName>
    <definedName name="_xlchart.v1.48" hidden="1">Planilha1!$Q$3:$Q$32</definedName>
    <definedName name="_xlchart.v1.49" hidden="1">Planilha1!$T$3:$T$32</definedName>
    <definedName name="_xlchart.v1.5" hidden="1">Planilha1!$AI$3:$AI$32</definedName>
    <definedName name="_xlchart.v1.50" hidden="1">Planilha1!$W$3:$W$32</definedName>
    <definedName name="_xlchart.v1.51" hidden="1">Planilha1!$Z$3:$Z$32</definedName>
    <definedName name="_xlchart.v1.52" hidden="1">Planilha3!$K:$K</definedName>
    <definedName name="_xlchart.v1.6" hidden="1">Planilha1!$AJ$1</definedName>
    <definedName name="_xlchart.v1.7" hidden="1">Planilha1!$AL$3:$AL$32</definedName>
    <definedName name="_xlchart.v1.8" hidden="1">Planilha1!$AM$1</definedName>
    <definedName name="_xlchart.v1.9" hidden="1">Planilha1!$AO$3:$AO$32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4" l="1"/>
  <c r="K24" i="4"/>
  <c r="K25" i="4"/>
  <c r="K26" i="4"/>
  <c r="K27" i="4"/>
  <c r="K28" i="4"/>
  <c r="K29" i="4"/>
  <c r="K30" i="4"/>
  <c r="K31" i="4"/>
  <c r="K3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" i="4"/>
  <c r="E16" i="4"/>
  <c r="E4" i="4"/>
  <c r="E5" i="4"/>
  <c r="E6" i="4"/>
  <c r="E7" i="4"/>
  <c r="E8" i="4"/>
  <c r="E9" i="4"/>
  <c r="E10" i="4"/>
  <c r="E11" i="4"/>
  <c r="E12" i="4"/>
  <c r="E13" i="4"/>
  <c r="E14" i="4"/>
  <c r="E15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" i="4"/>
  <c r="AB3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</calcChain>
</file>

<file path=xl/sharedStrings.xml><?xml version="1.0" encoding="utf-8"?>
<sst xmlns="http://schemas.openxmlformats.org/spreadsheetml/2006/main" count="195" uniqueCount="96">
  <si>
    <t>MDG-c_2</t>
  </si>
  <si>
    <t>MDG-c_4</t>
  </si>
  <si>
    <t>MDG-c_6</t>
  </si>
  <si>
    <t>MDG-c_8</t>
  </si>
  <si>
    <t>MDG-c_10</t>
  </si>
  <si>
    <t>MDG-c_12</t>
  </si>
  <si>
    <t>MDG-c_14</t>
  </si>
  <si>
    <t>MDG-c_16</t>
  </si>
  <si>
    <t>MDG-c_18</t>
  </si>
  <si>
    <t>MDG-c_20</t>
  </si>
  <si>
    <t>24909199⋆</t>
  </si>
  <si>
    <t>24904964⋆</t>
  </si>
  <si>
    <t>43465087∗</t>
  </si>
  <si>
    <t>43458007⋆</t>
  </si>
  <si>
    <t>43476251∗</t>
  </si>
  <si>
    <t>67021888∗</t>
  </si>
  <si>
    <t>67024804⋆</t>
  </si>
  <si>
    <t>95637733⋆</t>
  </si>
  <si>
    <t>95629207∗</t>
  </si>
  <si>
    <t>95643586∗</t>
  </si>
  <si>
    <t>Instancia</t>
  </si>
  <si>
    <t>MDG-a_22</t>
  </si>
  <si>
    <t>MDG-a_24</t>
  </si>
  <si>
    <t>MDG-a_26</t>
  </si>
  <si>
    <t>MDG-a_28</t>
  </si>
  <si>
    <t>MDG-a_30</t>
  </si>
  <si>
    <t>MDG-a_32</t>
  </si>
  <si>
    <t>MDG-a_34</t>
  </si>
  <si>
    <t>MDG-a_36</t>
  </si>
  <si>
    <t>MDG-a_38</t>
  </si>
  <si>
    <t>MDG-a_40</t>
  </si>
  <si>
    <t>MDG-b_22</t>
  </si>
  <si>
    <t>MDG-b_24</t>
  </si>
  <si>
    <t>MDG-b_26</t>
  </si>
  <si>
    <t>MDG-b_28</t>
  </si>
  <si>
    <t>MDG-b_30</t>
  </si>
  <si>
    <t>MDG-b_32</t>
  </si>
  <si>
    <t>MDG-b_34</t>
  </si>
  <si>
    <t>MDG-b_36</t>
  </si>
  <si>
    <t>MDG-b_38</t>
  </si>
  <si>
    <t>MDG-b_40</t>
  </si>
  <si>
    <t>Great cost</t>
  </si>
  <si>
    <t>Best Cost</t>
  </si>
  <si>
    <t>Best time</t>
  </si>
  <si>
    <t>Padrão</t>
  </si>
  <si>
    <t>Irace</t>
  </si>
  <si>
    <t>great cost</t>
  </si>
  <si>
    <t>time</t>
  </si>
  <si>
    <t>Configuracao 2 16 7 1656 63656 2,09 1</t>
  </si>
  <si>
    <t>Configuracao 2 18 6 2542 73603 2,03 0</t>
  </si>
  <si>
    <t>Configuracao  2 10 16 1644 24767 2,96 1</t>
  </si>
  <si>
    <t>Configuração  2 14 13 2405 43525 0,87 1</t>
  </si>
  <si>
    <t>Configuração  2 14 19 1795 66816 2,77 0</t>
  </si>
  <si>
    <t>Configuração  2 20 20 1079 55559 1,08 0</t>
  </si>
  <si>
    <t>Configuração  2 18 13 2520 13214 0,67 1</t>
  </si>
  <si>
    <t>Configuração  2 11 16 1797 24360 2,34 0</t>
  </si>
  <si>
    <t>Configuração  2 11 17 2326 31236 1,35 1</t>
  </si>
  <si>
    <t>Configuração  2 19 6 2851 43903 1,75 0</t>
  </si>
  <si>
    <t>Media por instancia</t>
  </si>
  <si>
    <t>Desvio Padrão</t>
  </si>
  <si>
    <t>bkv</t>
  </si>
  <si>
    <t>Irace Geral</t>
  </si>
  <si>
    <t>Irace separado</t>
  </si>
  <si>
    <t>Value</t>
  </si>
  <si>
    <t>Times</t>
  </si>
  <si>
    <t>dev</t>
  </si>
  <si>
    <t>11.52</t>
  </si>
  <si>
    <t>11.83</t>
  </si>
  <si>
    <t>12.05</t>
  </si>
  <si>
    <t>11.81</t>
  </si>
  <si>
    <t>12.03</t>
  </si>
  <si>
    <t>12.56</t>
  </si>
  <si>
    <t>12.37</t>
  </si>
  <si>
    <t>12.23</t>
  </si>
  <si>
    <t>12.35</t>
  </si>
  <si>
    <t>12.53</t>
  </si>
  <si>
    <t>23.26</t>
  </si>
  <si>
    <t>23.67</t>
  </si>
  <si>
    <t>23.33</t>
  </si>
  <si>
    <t>23.63</t>
  </si>
  <si>
    <t>23.34</t>
  </si>
  <si>
    <t>23.16</t>
  </si>
  <si>
    <t>22.94</t>
  </si>
  <si>
    <t>22.97</t>
  </si>
  <si>
    <t>23.15</t>
  </si>
  <si>
    <t>23.28</t>
  </si>
  <si>
    <t>34.37</t>
  </si>
  <si>
    <t>36.42</t>
  </si>
  <si>
    <t>36.48</t>
  </si>
  <si>
    <t>42.26</t>
  </si>
  <si>
    <t>37.87</t>
  </si>
  <si>
    <t>34.47</t>
  </si>
  <si>
    <t>34.63</t>
  </si>
  <si>
    <t>34.83</t>
  </si>
  <si>
    <t>34.70</t>
  </si>
  <si>
    <t>34.39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</si>
</sst>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left" indent="27"/>
    </xf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2" fontId="4" fillId="0" borderId="4" xfId="1" applyNumberFormat="1" applyBorder="1"/>
    <xf numFmtId="2" fontId="4" fillId="0" borderId="5" xfId="1" applyNumberFormat="1" applyBorder="1"/>
    <xf numFmtId="2" fontId="4" fillId="0" borderId="6" xfId="1" applyNumberFormat="1" applyBorder="1"/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710275D2-9DBC-477A-9815-0BEB2C7247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_xlchart.v1.16</cx:f>
      </cx:numDim>
    </cx:data>
    <cx:data id="3">
      <cx:numDim type="val">
        <cx:f>_xlchart.v1.18</cx:f>
      </cx:numDim>
    </cx:data>
    <cx:data id="4">
      <cx:numDim type="val">
        <cx:f>_xlchart.v1.20</cx:f>
      </cx:numDim>
    </cx:data>
    <cx:data id="5">
      <cx:numDim type="val">
        <cx:f>_xlchart.v1.22</cx:f>
      </cx:numDim>
    </cx:data>
    <cx:data id="6">
      <cx:numDim type="val">
        <cx:f>_xlchart.v1.24</cx:f>
      </cx:numDim>
    </cx:data>
    <cx:data id="7">
      <cx:numDim type="val">
        <cx:f>_xlchart.v1.1</cx:f>
      </cx:numDim>
    </cx:data>
    <cx:data id="8">
      <cx:numDim type="val">
        <cx:f>_xlchart.v1.3</cx:f>
      </cx:numDim>
    </cx:data>
    <cx:data id="9">
      <cx:numDim type="val">
        <cx:f>_xlchart.v1.5</cx:f>
      </cx:numDim>
    </cx:data>
    <cx:data id="10">
      <cx:numDim type="val">
        <cx:f>_xlchart.v1.7</cx:f>
      </cx:numDim>
    </cx:data>
    <cx:data id="11">
      <cx:numDim type="val">
        <cx:f>_xlchart.v1.9</cx:f>
      </cx:numDim>
    </cx:data>
    <cx:data id="12">
      <cx:numDim type="val">
        <cx:f>_xlchart.v1.14</cx:f>
      </cx:numDim>
    </cx:data>
  </cx:chartData>
  <cx:chart>
    <cx:title pos="t" align="ctr" overlay="0">
      <cx:tx>
        <cx:txData>
          <cx:v>grafico desvio padrao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grafico desvio padrao</a:t>
          </a:r>
        </a:p>
      </cx:txPr>
    </cx:title>
    <cx:plotArea>
      <cx:plotAreaRegion>
        <cx:series layoutId="boxWhisker" uniqueId="{F027B10E-9D4A-42C2-A360-996EFF7CDC29}" formatIdx="0">
          <cx:tx>
            <cx:txData>
              <cx:f>_xlchart.v1.10</cx:f>
              <cx:v>Padrão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5922C5E-E129-4246-B9EF-39947B99D9C5}" formatIdx="1">
          <cx:tx>
            <cx:txData>
              <cx:f>_xlchart.v1.12</cx:f>
              <cx:v>Irace Geral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DA59056-C9D5-427C-8AA4-463B2127A648}" formatIdx="2">
          <cx:tx>
            <cx:txData>
              <cx:f>_xlchart.v1.15</cx:f>
              <cx:v>Configuracao 2 16 7 1656 63656 2,09 1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6C9E66D-30A4-4E13-91E8-ED12B2DB9FDE}" formatIdx="3">
          <cx:tx>
            <cx:txData>
              <cx:f>_xlchart.v1.17</cx:f>
              <cx:v>Configuracao 2 18 6 2542 73603 2,03 0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2D5FD8D-045E-43AE-B8C5-E64209EAA869}" formatIdx="4">
          <cx:tx>
            <cx:txData>
              <cx:f>_xlchart.v1.19</cx:f>
              <cx:v>Configuracao  2 10 16 1644 24767 2,96 1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17BC3A71-22EB-47CC-B52A-284F6EFA9E05}" formatIdx="5">
          <cx:tx>
            <cx:txData>
              <cx:f>_xlchart.v1.21</cx:f>
              <cx:v>Configuração  2 14 13 2405 43525 0,87 1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5F522F99-7A97-4E23-9D13-87A6755777B4}" formatIdx="6">
          <cx:tx>
            <cx:txData>
              <cx:f>_xlchart.v1.23</cx:f>
              <cx:v>Configuração  2 14 19 1795 66816 2,77 0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971181E6-C471-4560-9CA5-01A74C68C9D8}" formatIdx="7">
          <cx:tx>
            <cx:txData>
              <cx:f>_xlchart.v1.0</cx:f>
              <cx:v>Configuração  2 20 20 1079 55559 1,08 0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C135088-7A79-4E02-B37B-A1F392DFA551}" formatIdx="8">
          <cx:tx>
            <cx:txData>
              <cx:f>_xlchart.v1.2</cx:f>
              <cx:v>Configuração  2 18 13 2520 13214 0,67 1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3B130AD7-A71E-4A58-8854-C53F8AA3DE5E}" formatIdx="9">
          <cx:tx>
            <cx:txData>
              <cx:f>_xlchart.v1.4</cx:f>
              <cx:v>Configuração  2 11 16 1797 24360 2,34 0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6D41FE1A-A51D-419E-8C75-BC8EA43C68DD}" formatIdx="10">
          <cx:tx>
            <cx:txData>
              <cx:f>_xlchart.v1.6</cx:f>
              <cx:v>Configuração  2 11 17 2326 31236 1,35 1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1324BC5E-E88F-457C-8C14-B953E60EF5EE}" formatIdx="11">
          <cx:tx>
            <cx:txData>
              <cx:f>_xlchart.v1.8</cx:f>
              <cx:v>Configuração  2 19 6 2851 43903 1,75 0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CF456752-E8AB-4A6C-A2A8-C4D80D7BE8AF}" formatIdx="12">
          <cx:tx>
            <cx:txData>
              <cx:f/>
              <cx:v>Irace separado</cx:v>
            </cx:txData>
          </cx:tx>
          <cx:dataId val="1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 max="100.14999999999999" min="99.349999999999994"/>
        <cx:title/>
        <cx:majorGridlines/>
        <cx:tickLabels/>
        <cx:spPr>
          <a:ln w="12700"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solidFill>
                    <a:schemeClr val="accent1"/>
                  </a:solidFill>
                </a:ln>
                <a:noFill/>
              </a:defRPr>
            </a:pPr>
            <a:endParaRPr lang="pt-BR" sz="900" b="0" i="0" u="none" strike="noStrike" baseline="0">
              <a:ln>
                <a:solidFill>
                  <a:schemeClr val="accent1"/>
                </a:solidFill>
              </a:ln>
              <a:noFill/>
              <a:latin typeface="Calibri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_xlchart.v1.31</cx:f>
      </cx:numDim>
    </cx:data>
    <cx:data id="2">
      <cx:numDim type="val">
        <cx:f>_xlchart.v1.32</cx:f>
      </cx:numDim>
    </cx:data>
    <cx:data id="3">
      <cx:numDim type="val">
        <cx:f>_xlchart.v1.33</cx:f>
      </cx:numDim>
    </cx:data>
    <cx:data id="4">
      <cx:numDim type="val">
        <cx:f>_xlchart.v1.34</cx:f>
      </cx:numDim>
    </cx:data>
    <cx:data id="5">
      <cx:numDim type="val">
        <cx:f>_xlchart.v1.35</cx:f>
      </cx:numDim>
    </cx:data>
    <cx:data id="6">
      <cx:numDim type="val">
        <cx:f>_xlchart.v1.36</cx:f>
      </cx:numDim>
    </cx:data>
    <cx:data id="7">
      <cx:numDim type="val">
        <cx:f>_xlchart.v1.37</cx:f>
      </cx:numDim>
    </cx:data>
    <cx:data id="8">
      <cx:numDim type="val">
        <cx:f>_xlchart.v1.25</cx:f>
      </cx:numDim>
    </cx:data>
    <cx:data id="9">
      <cx:numDim type="val">
        <cx:f>_xlchart.v1.26</cx:f>
      </cx:numDim>
    </cx:data>
    <cx:data id="10">
      <cx:numDim type="val">
        <cx:f>_xlchart.v1.27</cx:f>
      </cx:numDim>
    </cx:data>
    <cx:data id="11">
      <cx:numDim type="val">
        <cx:f>_xlchart.v1.28</cx:f>
      </cx:numDim>
    </cx:data>
    <cx:data id="12">
      <cx:numDim type="val">
        <cx:f>_xlchart.v1.29</cx:f>
      </cx:numDim>
    </cx:data>
  </cx:chartData>
  <cx:chart>
    <cx:title pos="t" align="ctr" overlay="0"/>
    <cx:plotArea>
      <cx:plotAreaRegion>
        <cx:series layoutId="boxWhisker" uniqueId="{CCC66ADE-7979-48B9-80FE-02C2A5D0741A}">
          <cx:tx>
            <cx:txData>
              <cx:v>padrão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E12E5D0-3815-4D8A-8DA6-FD1F5C6E976E}">
          <cx:tx>
            <cx:txData>
              <cx:v>irace geral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E9AA417-B139-4B19-9688-5CB25A143A26}">
          <cx:tx>
            <cx:txData>
              <cx:v>irace separado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9E8D587-E02B-4BB9-83D6-902B45F2F036}">
          <cx:tx>
            <cx:txData>
              <cx:v>conf 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65D489C-2013-4BA9-8126-457D63379F9B}">
          <cx:tx>
            <cx:txData>
              <cx:v>conf 2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EC2AB0F9-60BE-40C0-9ACD-6518155B5726}">
          <cx:tx>
            <cx:txData>
              <cx:v>conf 3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D1DE3512-34E7-496F-B4ED-A0D0B3C72EC1}">
          <cx:tx>
            <cx:txData>
              <cx:v>conf 4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946ABE6C-7721-466D-9961-C55B566ACF1B}">
          <cx:tx>
            <cx:txData>
              <cx:v>conf 5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B1FB5F0F-FA22-48CA-BC16-AC23172773E4}">
          <cx:tx>
            <cx:txData>
              <cx:v>conf 6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CBE7198A-C2D2-489E-9260-2A2D343502BC}">
          <cx:tx>
            <cx:txData>
              <cx:v>conf 7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D82772A9-96FE-414A-A0DF-7707B59706A8}">
          <cx:tx>
            <cx:txData>
              <cx:v>conf 8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46544867-521D-41D3-A184-BEE63DF4366C}">
          <cx:tx>
            <cx:txData>
              <cx:v>conf 9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D0F610E0-E89A-469A-8C52-81F833143880}">
          <cx:tx>
            <cx:txData>
              <cx:v>conf 10</cx:v>
            </cx:txData>
          </cx:tx>
          <cx:dataId val="1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.40000000000001" min="99.299999999999997"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0</xdr:rowOff>
    </xdr:from>
    <xdr:to>
      <xdr:col>16</xdr:col>
      <xdr:colOff>114300</xdr:colOff>
      <xdr:row>24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53C686B-2F11-4934-AD58-4076161C13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" y="0"/>
              <a:ext cx="9845040" cy="4526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426720</xdr:colOff>
      <xdr:row>24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9818F91-B9B8-4A3D-87A1-BD4915CD4C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0180320" cy="4526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2"/>
  <sheetViews>
    <sheetView topLeftCell="AE1" zoomScale="115" zoomScaleNormal="115" workbookViewId="0">
      <selection activeCell="B1" sqref="B1:C1"/>
    </sheetView>
  </sheetViews>
  <sheetFormatPr defaultRowHeight="14.4" x14ac:dyDescent="0.3"/>
  <cols>
    <col min="1" max="1" width="21.77734375" customWidth="1"/>
    <col min="2" max="2" width="23.5546875" customWidth="1"/>
    <col min="3" max="3" width="21.6640625" customWidth="1"/>
    <col min="4" max="4" width="43.5546875" customWidth="1"/>
    <col min="5" max="5" width="38.109375" customWidth="1"/>
    <col min="6" max="6" width="45.5546875" customWidth="1"/>
    <col min="7" max="7" width="34.109375" customWidth="1"/>
    <col min="8" max="8" width="38.88671875" customWidth="1"/>
    <col min="9" max="9" width="21.77734375" customWidth="1"/>
    <col min="10" max="10" width="31.44140625" customWidth="1"/>
    <col min="11" max="11" width="20" customWidth="1"/>
    <col min="12" max="12" width="35.77734375" customWidth="1"/>
    <col min="13" max="13" width="14.44140625" customWidth="1"/>
    <col min="14" max="14" width="30" customWidth="1"/>
    <col min="15" max="15" width="20.21875" customWidth="1"/>
    <col min="16" max="16" width="24.6640625" customWidth="1"/>
    <col min="17" max="17" width="23.109375" customWidth="1"/>
    <col min="18" max="18" width="25.77734375" customWidth="1"/>
    <col min="19" max="19" width="28.21875" customWidth="1"/>
    <col min="20" max="20" width="31" customWidth="1"/>
    <col min="21" max="21" width="23.77734375" customWidth="1"/>
    <col min="22" max="22" width="38.21875" customWidth="1"/>
    <col min="23" max="23" width="22.33203125" customWidth="1"/>
    <col min="24" max="24" width="22.5546875" customWidth="1"/>
    <col min="25" max="25" width="24.33203125" customWidth="1"/>
    <col min="26" max="26" width="28.77734375" customWidth="1"/>
    <col min="27" max="27" width="22.5546875" customWidth="1"/>
    <col min="28" max="28" width="17.5546875" customWidth="1"/>
    <col min="30" max="30" width="13.33203125" customWidth="1"/>
    <col min="31" max="31" width="12.109375" customWidth="1"/>
    <col min="32" max="32" width="17.77734375" customWidth="1"/>
    <col min="33" max="33" width="13.21875" customWidth="1"/>
    <col min="34" max="34" width="16.88671875" customWidth="1"/>
    <col min="35" max="35" width="15.44140625" customWidth="1"/>
    <col min="36" max="36" width="11.21875" customWidth="1"/>
    <col min="37" max="37" width="12.6640625" customWidth="1"/>
    <col min="38" max="38" width="13.33203125" customWidth="1"/>
    <col min="39" max="39" width="23.33203125" customWidth="1"/>
  </cols>
  <sheetData>
    <row r="1" spans="1:43" x14ac:dyDescent="0.3">
      <c r="A1" s="1" t="s">
        <v>20</v>
      </c>
      <c r="B1" s="13" t="s">
        <v>44</v>
      </c>
      <c r="C1" s="14"/>
      <c r="D1" s="13" t="s">
        <v>45</v>
      </c>
      <c r="E1" s="14"/>
      <c r="F1" s="1" t="s">
        <v>41</v>
      </c>
      <c r="G1" s="11" t="s">
        <v>48</v>
      </c>
      <c r="H1" s="12"/>
      <c r="I1" s="11" t="s">
        <v>49</v>
      </c>
      <c r="J1" s="12"/>
      <c r="K1" s="11" t="s">
        <v>50</v>
      </c>
      <c r="L1" s="12"/>
      <c r="M1" s="11" t="s">
        <v>51</v>
      </c>
      <c r="N1" s="12"/>
      <c r="O1" s="11" t="s">
        <v>52</v>
      </c>
      <c r="P1" s="12"/>
      <c r="Q1" s="11" t="s">
        <v>53</v>
      </c>
      <c r="R1" s="12"/>
      <c r="S1" s="11" t="s">
        <v>54</v>
      </c>
      <c r="T1" s="12"/>
      <c r="U1" s="11" t="s">
        <v>55</v>
      </c>
      <c r="V1" s="12"/>
      <c r="W1" s="11" t="s">
        <v>56</v>
      </c>
      <c r="X1" s="12"/>
      <c r="Y1" s="11" t="s">
        <v>57</v>
      </c>
      <c r="Z1" s="12"/>
    </row>
    <row r="2" spans="1:43" x14ac:dyDescent="0.3">
      <c r="B2" t="s">
        <v>42</v>
      </c>
      <c r="C2" t="s">
        <v>43</v>
      </c>
      <c r="D2" t="s">
        <v>42</v>
      </c>
      <c r="E2" t="s">
        <v>43</v>
      </c>
      <c r="F2" s="1" t="s">
        <v>41</v>
      </c>
      <c r="G2" s="4" t="s">
        <v>43</v>
      </c>
      <c r="H2" s="4" t="s">
        <v>46</v>
      </c>
      <c r="I2" s="4" t="s">
        <v>43</v>
      </c>
      <c r="J2" s="4" t="s">
        <v>46</v>
      </c>
      <c r="K2" s="4" t="s">
        <v>43</v>
      </c>
      <c r="L2" s="4" t="s">
        <v>46</v>
      </c>
      <c r="M2" s="4" t="s">
        <v>47</v>
      </c>
      <c r="N2" s="4" t="s">
        <v>46</v>
      </c>
      <c r="O2" s="4" t="s">
        <v>47</v>
      </c>
      <c r="P2" s="4" t="s">
        <v>46</v>
      </c>
      <c r="Q2" s="4" t="s">
        <v>47</v>
      </c>
      <c r="R2" s="4" t="s">
        <v>46</v>
      </c>
      <c r="S2" s="4" t="s">
        <v>47</v>
      </c>
      <c r="T2" s="4" t="s">
        <v>46</v>
      </c>
      <c r="U2" s="4" t="s">
        <v>47</v>
      </c>
      <c r="V2" s="4" t="s">
        <v>46</v>
      </c>
      <c r="W2" s="4" t="s">
        <v>47</v>
      </c>
      <c r="X2" s="4" t="s">
        <v>46</v>
      </c>
      <c r="Y2" s="4" t="s">
        <v>47</v>
      </c>
      <c r="Z2" s="4" t="s">
        <v>46</v>
      </c>
      <c r="AA2" s="4" t="s">
        <v>58</v>
      </c>
      <c r="AB2" s="4" t="s">
        <v>59</v>
      </c>
    </row>
    <row r="3" spans="1:43" ht="13.2" customHeight="1" x14ac:dyDescent="0.3">
      <c r="A3" t="s">
        <v>21</v>
      </c>
      <c r="B3">
        <v>114281.7</v>
      </c>
      <c r="C3">
        <v>8.2154340000000001</v>
      </c>
      <c r="D3">
        <v>114297</v>
      </c>
      <c r="F3">
        <v>114327</v>
      </c>
      <c r="G3">
        <v>11.49</v>
      </c>
      <c r="H3" s="5">
        <v>114171.2</v>
      </c>
      <c r="I3">
        <v>11.45</v>
      </c>
      <c r="J3">
        <v>114213.3</v>
      </c>
      <c r="K3">
        <v>11.62</v>
      </c>
      <c r="L3">
        <v>114308.1</v>
      </c>
      <c r="M3">
        <v>11.57</v>
      </c>
      <c r="N3">
        <v>113902.8</v>
      </c>
      <c r="O3">
        <v>12.17</v>
      </c>
      <c r="P3">
        <v>114291.4</v>
      </c>
      <c r="Q3">
        <v>11.53</v>
      </c>
      <c r="R3">
        <v>114118.5</v>
      </c>
      <c r="S3" s="5">
        <v>12.34</v>
      </c>
      <c r="T3">
        <v>114142.9</v>
      </c>
      <c r="U3">
        <v>12.22</v>
      </c>
      <c r="V3">
        <v>113738.8</v>
      </c>
      <c r="W3">
        <v>12.57</v>
      </c>
      <c r="X3">
        <v>114171.9</v>
      </c>
      <c r="Y3">
        <v>11.47</v>
      </c>
      <c r="Z3">
        <v>114205.4</v>
      </c>
      <c r="AB3">
        <f t="shared" ref="AB3:AB32" si="0">AVERAGE(
    ABS(B3-AVERAGE(B3,D3,H3,J3,L3,N3,P3,R3,T3,V3,X3,Z3)),
    ABS(D3-AVERAGE(B3,D3,H3,J3,L3,N3,P3,R3,T3,V3,X3,Z3)),
    ABS(H3-AVERAGE(B3,D3,H3,J3,L3,N3,P3,R3,T3,V3,X3,Z3)),
    ABS(J3-AVERAGE(B3,D3,H3,J3,L3,N3,P3,R3,T3,V3,X3,Z3)),
    ABS(L3-AVERAGE(B3,D3,H3,J3,L3,N3,P3,R3,T3,V3,X3,Z3)),
    ABS(N3-AVERAGE(B3,D3,H3,J3,L3,N3,P3,R3,T3,V3,X3,Z3)),
    ABS(P3-AVERAGE(B3,D3,H3,J3,L3,N3,P3,R3,T3,V3,X3,Z3)),
    ABS(R3-AVERAGE(B3,D3,H3,J3,L3,N3,P3,R3,T3,V3,X3,Z3)),
    ABS(T3-AVERAGE(B3,D3,H3,J3,L3,N3,P3,R3,T3,V3,X3,Z3)),
    ABS(V3-AVERAGE(B3,D3,H3,J3,L3,N3,P3,R3,T3,V3,X3,Z3)),
    ABS(X3-AVERAGE(B3,D3,H3,J3,L3,N3,P3,R3,T3,V3,X3,Z3)),
    ABS(Z3-AVERAGE(B3,D3,H3,J3,L3,N3,P3,R3,T3,V3,X3,Z3))
)
/AVERAGE(B3,D3,H3,J3,L3,N3,P3,R3,T3,V3,X3,Z3)</f>
        <v>1.0385618400551534E-3</v>
      </c>
      <c r="AN3" s="5"/>
      <c r="AO3" s="5"/>
      <c r="AP3" s="5"/>
      <c r="AQ3" s="5"/>
    </row>
    <row r="4" spans="1:43" x14ac:dyDescent="0.3">
      <c r="A4" t="s">
        <v>22</v>
      </c>
      <c r="B4">
        <v>114049</v>
      </c>
      <c r="C4">
        <v>8.3361180000000008</v>
      </c>
      <c r="D4">
        <v>114045.4</v>
      </c>
      <c r="F4">
        <v>114093</v>
      </c>
      <c r="G4">
        <v>11.65</v>
      </c>
      <c r="H4" s="5">
        <v>114032</v>
      </c>
      <c r="I4">
        <v>11.45</v>
      </c>
      <c r="J4">
        <v>114005.8</v>
      </c>
      <c r="K4">
        <v>11.41</v>
      </c>
      <c r="L4">
        <v>114045.2</v>
      </c>
      <c r="M4">
        <v>11.35</v>
      </c>
      <c r="N4">
        <v>113843.5</v>
      </c>
      <c r="O4">
        <v>12.3</v>
      </c>
      <c r="P4">
        <v>114056.4</v>
      </c>
      <c r="Q4">
        <v>11.49</v>
      </c>
      <c r="R4">
        <v>113966.39999999999</v>
      </c>
      <c r="S4">
        <v>12.18</v>
      </c>
      <c r="T4">
        <v>113927.7</v>
      </c>
      <c r="U4">
        <v>11.72</v>
      </c>
      <c r="V4">
        <v>113576.1</v>
      </c>
      <c r="W4">
        <v>11.64</v>
      </c>
      <c r="X4">
        <v>113998.1</v>
      </c>
      <c r="Y4">
        <v>11.45</v>
      </c>
      <c r="Z4">
        <v>113990.39999999999</v>
      </c>
      <c r="AB4">
        <f t="shared" si="0"/>
        <v>7.8491535140574637E-4</v>
      </c>
    </row>
    <row r="5" spans="1:43" x14ac:dyDescent="0.3">
      <c r="A5" t="s">
        <v>23</v>
      </c>
      <c r="B5">
        <v>114228.2</v>
      </c>
      <c r="C5">
        <v>8.318327</v>
      </c>
      <c r="D5">
        <v>114232.5</v>
      </c>
      <c r="F5">
        <v>114265</v>
      </c>
      <c r="G5">
        <v>11.46</v>
      </c>
      <c r="H5" s="5">
        <v>114218.2</v>
      </c>
      <c r="I5">
        <v>11.39</v>
      </c>
      <c r="J5">
        <v>114212.5</v>
      </c>
      <c r="K5">
        <v>12.56</v>
      </c>
      <c r="L5">
        <v>114229.5</v>
      </c>
      <c r="M5">
        <v>11.48</v>
      </c>
      <c r="N5">
        <v>113967.1</v>
      </c>
      <c r="O5">
        <v>12.5</v>
      </c>
      <c r="P5">
        <v>114209.60000000001</v>
      </c>
      <c r="Q5">
        <v>11.35</v>
      </c>
      <c r="R5">
        <v>114145.1</v>
      </c>
      <c r="S5">
        <v>12.18</v>
      </c>
      <c r="T5">
        <v>114107.4</v>
      </c>
      <c r="U5">
        <v>11.95</v>
      </c>
      <c r="V5">
        <v>113837.7</v>
      </c>
      <c r="W5">
        <v>11.97</v>
      </c>
      <c r="X5">
        <v>114208.6</v>
      </c>
      <c r="Y5">
        <v>11.41</v>
      </c>
      <c r="Z5">
        <v>114199.6</v>
      </c>
      <c r="AB5">
        <f t="shared" si="0"/>
        <v>7.9043400136462967E-4</v>
      </c>
    </row>
    <row r="6" spans="1:43" ht="15" x14ac:dyDescent="0.35">
      <c r="A6" s="2" t="s">
        <v>24</v>
      </c>
      <c r="B6">
        <v>114207.8</v>
      </c>
      <c r="C6">
        <v>8.6163720000000001</v>
      </c>
      <c r="D6">
        <v>114262</v>
      </c>
      <c r="F6">
        <v>114327</v>
      </c>
      <c r="G6">
        <v>11.45</v>
      </c>
      <c r="H6" s="5">
        <v>114152.4</v>
      </c>
      <c r="I6">
        <v>11.46</v>
      </c>
      <c r="J6">
        <v>114169.4</v>
      </c>
      <c r="K6">
        <v>12.66</v>
      </c>
      <c r="L6">
        <v>114286</v>
      </c>
      <c r="M6">
        <v>11.75</v>
      </c>
      <c r="N6">
        <v>113915.8</v>
      </c>
      <c r="O6">
        <v>12.64</v>
      </c>
      <c r="P6">
        <v>114260.6</v>
      </c>
      <c r="Q6">
        <v>11.43</v>
      </c>
      <c r="R6">
        <v>114119.4</v>
      </c>
      <c r="S6">
        <v>12.23</v>
      </c>
      <c r="T6">
        <v>114026.8</v>
      </c>
      <c r="U6">
        <v>11.97</v>
      </c>
      <c r="V6">
        <v>113704</v>
      </c>
      <c r="W6">
        <v>12.65</v>
      </c>
      <c r="X6">
        <v>114151.5</v>
      </c>
      <c r="Y6">
        <v>11.41</v>
      </c>
      <c r="Z6">
        <v>114143.4</v>
      </c>
      <c r="AB6">
        <f t="shared" si="0"/>
        <v>1.0269832950817136E-3</v>
      </c>
    </row>
    <row r="7" spans="1:43" x14ac:dyDescent="0.3">
      <c r="A7" t="s">
        <v>25</v>
      </c>
      <c r="B7">
        <v>114176.7</v>
      </c>
      <c r="C7">
        <v>8.508699</v>
      </c>
      <c r="D7">
        <v>114207.1</v>
      </c>
      <c r="F7">
        <v>114229</v>
      </c>
      <c r="G7">
        <v>11.33</v>
      </c>
      <c r="H7" s="5">
        <v>114161.2</v>
      </c>
      <c r="I7">
        <v>11.37</v>
      </c>
      <c r="J7">
        <v>114170.5</v>
      </c>
      <c r="K7">
        <v>12.04</v>
      </c>
      <c r="L7">
        <v>114187.2</v>
      </c>
      <c r="M7">
        <v>11.53</v>
      </c>
      <c r="N7">
        <v>113869</v>
      </c>
      <c r="O7">
        <v>12.48</v>
      </c>
      <c r="P7">
        <v>114204.6</v>
      </c>
      <c r="Q7">
        <v>11.43</v>
      </c>
      <c r="R7">
        <v>114084.3</v>
      </c>
      <c r="S7">
        <v>12.47</v>
      </c>
      <c r="T7">
        <v>113998.9</v>
      </c>
      <c r="U7">
        <v>11.91</v>
      </c>
      <c r="V7">
        <v>113730.5</v>
      </c>
      <c r="W7">
        <v>11.47</v>
      </c>
      <c r="X7">
        <v>114147.2</v>
      </c>
      <c r="Y7">
        <v>11.37</v>
      </c>
      <c r="Z7">
        <v>114097.2</v>
      </c>
      <c r="AB7">
        <f t="shared" si="0"/>
        <v>9.6725107857042287E-4</v>
      </c>
    </row>
    <row r="8" spans="1:43" x14ac:dyDescent="0.3">
      <c r="A8" t="s">
        <v>26</v>
      </c>
      <c r="B8">
        <v>114143.4</v>
      </c>
      <c r="C8">
        <v>8.4193599999999993</v>
      </c>
      <c r="D8">
        <v>114189.7</v>
      </c>
      <c r="F8">
        <v>114214</v>
      </c>
      <c r="G8">
        <v>11.48</v>
      </c>
      <c r="H8" s="5">
        <v>114120.8</v>
      </c>
      <c r="I8">
        <v>11.35</v>
      </c>
      <c r="J8">
        <v>114095</v>
      </c>
      <c r="K8">
        <v>11.73</v>
      </c>
      <c r="L8">
        <v>114160.1</v>
      </c>
      <c r="M8">
        <v>11.75</v>
      </c>
      <c r="N8">
        <v>113907</v>
      </c>
      <c r="O8">
        <v>12.99</v>
      </c>
      <c r="P8">
        <v>114157.6</v>
      </c>
      <c r="Q8">
        <v>11.45</v>
      </c>
      <c r="R8">
        <v>114092.3</v>
      </c>
      <c r="S8">
        <v>12.16</v>
      </c>
      <c r="T8">
        <v>113972.1</v>
      </c>
      <c r="U8">
        <v>11.99</v>
      </c>
      <c r="V8">
        <v>113614.7</v>
      </c>
      <c r="W8">
        <v>11.52</v>
      </c>
      <c r="X8">
        <v>114105</v>
      </c>
      <c r="Y8">
        <v>11.84</v>
      </c>
      <c r="Z8">
        <v>114073.9</v>
      </c>
      <c r="AB8">
        <f t="shared" si="0"/>
        <v>9.7045837608900683E-4</v>
      </c>
    </row>
    <row r="9" spans="1:43" x14ac:dyDescent="0.3">
      <c r="A9" t="s">
        <v>27</v>
      </c>
      <c r="B9">
        <v>114178.1</v>
      </c>
      <c r="C9">
        <v>7.8391659999999996</v>
      </c>
      <c r="D9">
        <v>114173.5</v>
      </c>
      <c r="F9">
        <v>114216</v>
      </c>
      <c r="G9">
        <v>11.48</v>
      </c>
      <c r="H9" s="5">
        <v>114147</v>
      </c>
      <c r="I9">
        <v>11.36</v>
      </c>
      <c r="J9">
        <v>114093</v>
      </c>
      <c r="K9">
        <v>11.74</v>
      </c>
      <c r="L9">
        <v>114204.9</v>
      </c>
      <c r="M9">
        <v>11.65</v>
      </c>
      <c r="N9">
        <v>113832.4</v>
      </c>
      <c r="O9">
        <v>14.46</v>
      </c>
      <c r="P9">
        <v>114128.1</v>
      </c>
      <c r="Q9">
        <v>11.44</v>
      </c>
      <c r="R9">
        <v>114035.2</v>
      </c>
      <c r="S9">
        <v>12.21</v>
      </c>
      <c r="T9">
        <v>113945.1</v>
      </c>
      <c r="U9">
        <v>12.01</v>
      </c>
      <c r="V9">
        <v>113535</v>
      </c>
      <c r="W9">
        <v>11.46</v>
      </c>
      <c r="X9">
        <v>114087.8</v>
      </c>
      <c r="Y9">
        <v>12.5</v>
      </c>
      <c r="Z9">
        <v>114085.3</v>
      </c>
      <c r="AB9">
        <f t="shared" si="0"/>
        <v>1.1703304591716985E-3</v>
      </c>
    </row>
    <row r="10" spans="1:43" x14ac:dyDescent="0.3">
      <c r="A10" t="s">
        <v>28</v>
      </c>
      <c r="B10">
        <v>114286.9</v>
      </c>
      <c r="C10">
        <v>8.3880359999999996</v>
      </c>
      <c r="D10">
        <v>114313.4</v>
      </c>
      <c r="F10">
        <v>114335</v>
      </c>
      <c r="G10">
        <v>11.46</v>
      </c>
      <c r="H10" s="5">
        <v>114279</v>
      </c>
      <c r="I10">
        <v>11.55</v>
      </c>
      <c r="J10">
        <v>114267.1</v>
      </c>
      <c r="K10">
        <v>11.37</v>
      </c>
      <c r="L10">
        <v>114312.6</v>
      </c>
      <c r="M10">
        <v>11.54</v>
      </c>
      <c r="N10">
        <v>114008.4</v>
      </c>
      <c r="O10">
        <v>14.6</v>
      </c>
      <c r="P10">
        <v>114278.5</v>
      </c>
      <c r="Q10">
        <v>11.44</v>
      </c>
      <c r="R10">
        <v>114204.1</v>
      </c>
      <c r="S10">
        <v>12.2</v>
      </c>
      <c r="T10">
        <v>114096.2</v>
      </c>
      <c r="U10">
        <v>11.94</v>
      </c>
      <c r="V10">
        <v>113809.8</v>
      </c>
      <c r="W10">
        <v>11.43</v>
      </c>
      <c r="X10">
        <v>114286.6</v>
      </c>
      <c r="Y10">
        <v>12.11</v>
      </c>
      <c r="Z10">
        <v>114217.7</v>
      </c>
      <c r="AB10">
        <f t="shared" si="0"/>
        <v>9.8612751697493015E-4</v>
      </c>
    </row>
    <row r="11" spans="1:43" x14ac:dyDescent="0.3">
      <c r="A11" t="s">
        <v>29</v>
      </c>
      <c r="B11">
        <v>114400.6</v>
      </c>
      <c r="C11">
        <v>7.6724949999999996</v>
      </c>
      <c r="D11">
        <v>114387.4</v>
      </c>
      <c r="F11">
        <v>114408</v>
      </c>
      <c r="G11">
        <v>11.54</v>
      </c>
      <c r="H11" s="5">
        <v>114279</v>
      </c>
      <c r="I11">
        <v>11.33</v>
      </c>
      <c r="J11">
        <v>114338.8</v>
      </c>
      <c r="K11">
        <v>11.36</v>
      </c>
      <c r="L11">
        <v>114397.7</v>
      </c>
      <c r="M11">
        <v>11.89</v>
      </c>
      <c r="N11">
        <v>114117.9</v>
      </c>
      <c r="O11">
        <v>12.92</v>
      </c>
      <c r="P11">
        <v>114384</v>
      </c>
      <c r="Q11">
        <v>11.42</v>
      </c>
      <c r="R11">
        <v>114349</v>
      </c>
      <c r="S11">
        <v>12.35</v>
      </c>
      <c r="T11">
        <v>114153.5</v>
      </c>
      <c r="U11">
        <v>12.56</v>
      </c>
      <c r="V11">
        <v>113892.9</v>
      </c>
      <c r="W11">
        <v>11.42</v>
      </c>
      <c r="X11">
        <v>114360.8</v>
      </c>
      <c r="Y11">
        <v>11.89</v>
      </c>
      <c r="Z11">
        <v>114274.8</v>
      </c>
      <c r="AB11">
        <f t="shared" si="0"/>
        <v>9.8157291432404985E-4</v>
      </c>
    </row>
    <row r="12" spans="1:43" x14ac:dyDescent="0.3">
      <c r="A12" t="s">
        <v>30</v>
      </c>
      <c r="B12">
        <v>114256.5</v>
      </c>
      <c r="C12">
        <v>8.5553500000000007</v>
      </c>
      <c r="D12">
        <v>114290.5</v>
      </c>
      <c r="F12">
        <v>114349</v>
      </c>
      <c r="G12">
        <v>11.48</v>
      </c>
      <c r="H12" s="5">
        <v>114253</v>
      </c>
      <c r="I12">
        <v>11.43</v>
      </c>
      <c r="J12">
        <v>114220.4</v>
      </c>
      <c r="K12">
        <v>11.42</v>
      </c>
      <c r="L12">
        <v>114285.1</v>
      </c>
      <c r="M12">
        <v>11.83</v>
      </c>
      <c r="N12">
        <v>114005.6</v>
      </c>
      <c r="O12">
        <v>12.68</v>
      </c>
      <c r="P12">
        <v>114244.8</v>
      </c>
      <c r="Q12">
        <v>11.45</v>
      </c>
      <c r="R12">
        <v>114139.7</v>
      </c>
      <c r="S12">
        <v>12.23</v>
      </c>
      <c r="T12">
        <v>114126.2</v>
      </c>
      <c r="U12">
        <v>12.57</v>
      </c>
      <c r="V12">
        <v>113775.2</v>
      </c>
      <c r="W12">
        <v>11.4</v>
      </c>
      <c r="X12">
        <v>114237.5</v>
      </c>
      <c r="Y12">
        <v>12.46</v>
      </c>
      <c r="Z12">
        <v>114190.2</v>
      </c>
      <c r="AB12">
        <f t="shared" si="0"/>
        <v>9.1706375804760166E-4</v>
      </c>
    </row>
    <row r="13" spans="1:43" x14ac:dyDescent="0.3">
      <c r="A13" t="s">
        <v>31</v>
      </c>
      <c r="B13">
        <v>11290114.300000001</v>
      </c>
      <c r="C13">
        <v>11.683726</v>
      </c>
      <c r="D13">
        <v>11289279.85</v>
      </c>
      <c r="F13">
        <v>11286776</v>
      </c>
      <c r="G13">
        <v>22.19</v>
      </c>
      <c r="H13">
        <v>114253</v>
      </c>
      <c r="I13">
        <v>22.05</v>
      </c>
      <c r="J13">
        <v>11286057.720000001</v>
      </c>
      <c r="K13">
        <v>22</v>
      </c>
      <c r="L13">
        <v>11289048.93</v>
      </c>
      <c r="M13">
        <v>22.32</v>
      </c>
      <c r="N13">
        <v>11273719.699999999</v>
      </c>
      <c r="O13">
        <v>23.95</v>
      </c>
      <c r="P13">
        <v>11284821.09</v>
      </c>
      <c r="Q13">
        <v>21.96</v>
      </c>
      <c r="R13">
        <v>11281650.130000001</v>
      </c>
      <c r="S13">
        <v>23.27</v>
      </c>
      <c r="T13">
        <v>11280420.359999999</v>
      </c>
      <c r="U13">
        <v>23.48</v>
      </c>
      <c r="V13">
        <v>11258415.23</v>
      </c>
      <c r="W13">
        <v>22.11</v>
      </c>
      <c r="X13">
        <v>11286031.02</v>
      </c>
      <c r="Y13">
        <v>22.15</v>
      </c>
      <c r="Z13">
        <v>11281054.720000001</v>
      </c>
      <c r="AB13">
        <f t="shared" si="0"/>
        <v>0.16482706399054234</v>
      </c>
    </row>
    <row r="14" spans="1:43" x14ac:dyDescent="0.3">
      <c r="A14" t="s">
        <v>32</v>
      </c>
      <c r="B14">
        <v>11287318.4</v>
      </c>
      <c r="C14">
        <v>11.468094000000001</v>
      </c>
      <c r="D14">
        <v>11288984.92</v>
      </c>
      <c r="F14">
        <v>11290874</v>
      </c>
      <c r="G14">
        <v>22.14</v>
      </c>
      <c r="H14">
        <v>11286655.82</v>
      </c>
      <c r="I14">
        <v>22.07</v>
      </c>
      <c r="J14">
        <v>11284356.18</v>
      </c>
      <c r="K14">
        <v>22.01</v>
      </c>
      <c r="L14">
        <v>11290233.380000001</v>
      </c>
      <c r="M14">
        <v>22.01</v>
      </c>
      <c r="N14">
        <v>11273273.779999999</v>
      </c>
      <c r="O14">
        <v>23.63</v>
      </c>
      <c r="P14">
        <v>11288294.83</v>
      </c>
      <c r="Q14">
        <v>22.04</v>
      </c>
      <c r="R14">
        <v>11283655.9</v>
      </c>
      <c r="S14">
        <v>24.44</v>
      </c>
      <c r="T14">
        <v>11282631.77</v>
      </c>
      <c r="U14">
        <v>23.83</v>
      </c>
      <c r="V14">
        <v>11252922.92</v>
      </c>
      <c r="W14">
        <v>22.14</v>
      </c>
      <c r="X14">
        <v>11287186.65</v>
      </c>
      <c r="Y14">
        <v>22.04</v>
      </c>
      <c r="Z14">
        <v>11280858.779999999</v>
      </c>
      <c r="AB14">
        <f t="shared" si="0"/>
        <v>5.8407432782949344E-4</v>
      </c>
    </row>
    <row r="15" spans="1:43" x14ac:dyDescent="0.3">
      <c r="A15" t="s">
        <v>33</v>
      </c>
      <c r="B15">
        <v>11293574.300000001</v>
      </c>
      <c r="C15">
        <v>12.651241000000001</v>
      </c>
      <c r="D15">
        <v>11294937.24</v>
      </c>
      <c r="F15">
        <v>11292296</v>
      </c>
      <c r="G15">
        <v>22.23</v>
      </c>
      <c r="H15">
        <v>11292032.5</v>
      </c>
      <c r="I15">
        <v>22.11</v>
      </c>
      <c r="J15">
        <v>11292885.029999999</v>
      </c>
      <c r="K15">
        <v>21.97</v>
      </c>
      <c r="L15">
        <v>11296309.16</v>
      </c>
      <c r="M15">
        <v>22.06</v>
      </c>
      <c r="N15">
        <v>11278726.91</v>
      </c>
      <c r="O15">
        <v>23.27</v>
      </c>
      <c r="P15">
        <v>11294018.83</v>
      </c>
      <c r="Q15">
        <v>22.03</v>
      </c>
      <c r="R15">
        <v>11289073.029999999</v>
      </c>
      <c r="S15">
        <v>24.19</v>
      </c>
      <c r="T15">
        <v>11283418.109999999</v>
      </c>
      <c r="U15">
        <v>23.85</v>
      </c>
      <c r="V15">
        <v>11258444.08</v>
      </c>
      <c r="W15">
        <v>22.04</v>
      </c>
      <c r="X15">
        <v>11291737.41</v>
      </c>
      <c r="Y15">
        <v>22.1</v>
      </c>
      <c r="Z15">
        <v>11292660.41</v>
      </c>
      <c r="AB15">
        <f t="shared" si="0"/>
        <v>6.4765775011369376E-4</v>
      </c>
    </row>
    <row r="16" spans="1:43" ht="15" x14ac:dyDescent="0.35">
      <c r="A16" s="2" t="s">
        <v>34</v>
      </c>
      <c r="B16">
        <v>11281314</v>
      </c>
      <c r="C16">
        <v>14.933056000000001</v>
      </c>
      <c r="D16">
        <v>11282674.23</v>
      </c>
      <c r="F16">
        <v>11279916</v>
      </c>
      <c r="G16">
        <v>22.11</v>
      </c>
      <c r="H16">
        <v>11281260.4</v>
      </c>
      <c r="I16">
        <v>22.1</v>
      </c>
      <c r="J16">
        <v>11279477.33</v>
      </c>
      <c r="K16">
        <v>22.04</v>
      </c>
      <c r="L16">
        <v>11281170.550000001</v>
      </c>
      <c r="M16">
        <v>22.06</v>
      </c>
      <c r="N16">
        <v>11268307.83</v>
      </c>
      <c r="O16">
        <v>24.03</v>
      </c>
      <c r="P16">
        <v>11281044.43</v>
      </c>
      <c r="Q16">
        <v>22.03</v>
      </c>
      <c r="R16">
        <v>11278072.43</v>
      </c>
      <c r="S16">
        <v>24.09</v>
      </c>
      <c r="T16">
        <v>11275429.1</v>
      </c>
      <c r="U16">
        <v>23.54</v>
      </c>
      <c r="V16">
        <v>11255719.42</v>
      </c>
      <c r="W16">
        <v>22.14</v>
      </c>
      <c r="X16">
        <v>11280608.960000001</v>
      </c>
      <c r="Y16">
        <v>22.07</v>
      </c>
      <c r="Z16">
        <v>11279360.15</v>
      </c>
      <c r="AB16">
        <f t="shared" si="0"/>
        <v>4.6781435450491364E-4</v>
      </c>
    </row>
    <row r="17" spans="1:28" x14ac:dyDescent="0.3">
      <c r="A17" t="s">
        <v>35</v>
      </c>
      <c r="B17">
        <v>11297206.300000001</v>
      </c>
      <c r="C17">
        <v>15.664707</v>
      </c>
      <c r="D17">
        <v>11297406.43</v>
      </c>
      <c r="F17">
        <v>11296415</v>
      </c>
      <c r="G17">
        <v>22.14</v>
      </c>
      <c r="H17">
        <v>11296728.51</v>
      </c>
      <c r="I17">
        <v>22</v>
      </c>
      <c r="J17">
        <v>11295505.23</v>
      </c>
      <c r="K17">
        <v>22.17</v>
      </c>
      <c r="L17">
        <v>11296953.66</v>
      </c>
      <c r="M17">
        <v>22.07</v>
      </c>
      <c r="N17">
        <v>11282741.470000001</v>
      </c>
      <c r="O17">
        <v>23.68</v>
      </c>
      <c r="P17">
        <v>11296265.59</v>
      </c>
      <c r="Q17">
        <v>22.06</v>
      </c>
      <c r="R17">
        <v>11294239.33</v>
      </c>
      <c r="S17">
        <v>23.61</v>
      </c>
      <c r="T17">
        <v>11291087.26</v>
      </c>
      <c r="U17">
        <v>23.23</v>
      </c>
      <c r="V17">
        <v>11259809.67</v>
      </c>
      <c r="W17">
        <v>22.05</v>
      </c>
      <c r="X17">
        <v>11294938.35</v>
      </c>
      <c r="Y17">
        <v>22.21</v>
      </c>
      <c r="Z17">
        <v>11295312.51</v>
      </c>
      <c r="AB17">
        <f t="shared" si="0"/>
        <v>6.0384830526082056E-4</v>
      </c>
    </row>
    <row r="18" spans="1:28" x14ac:dyDescent="0.3">
      <c r="A18" t="s">
        <v>36</v>
      </c>
      <c r="B18">
        <v>11282438</v>
      </c>
      <c r="C18">
        <v>13.584182999999999</v>
      </c>
      <c r="D18">
        <v>11282123.939999999</v>
      </c>
      <c r="F18">
        <v>11279820</v>
      </c>
      <c r="G18">
        <v>22.13</v>
      </c>
      <c r="H18">
        <v>11280163.279999999</v>
      </c>
      <c r="I18">
        <v>22.03</v>
      </c>
      <c r="J18">
        <v>11277368.890000001</v>
      </c>
      <c r="K18">
        <v>21.98</v>
      </c>
      <c r="L18">
        <v>11282484.109999999</v>
      </c>
      <c r="M18">
        <v>22.08</v>
      </c>
      <c r="N18">
        <v>11263244.58</v>
      </c>
      <c r="O18">
        <v>23.38</v>
      </c>
      <c r="P18">
        <v>11281030.02</v>
      </c>
      <c r="Q18">
        <v>22.03</v>
      </c>
      <c r="R18">
        <v>11277960.9</v>
      </c>
      <c r="S18">
        <v>23.61</v>
      </c>
      <c r="T18">
        <v>11276205.699999999</v>
      </c>
      <c r="U18">
        <v>23.39</v>
      </c>
      <c r="V18">
        <v>11245243.289999999</v>
      </c>
      <c r="W18">
        <v>22.04</v>
      </c>
      <c r="X18">
        <v>11280278.789999999</v>
      </c>
      <c r="Y18">
        <v>22.16</v>
      </c>
      <c r="Z18">
        <v>11277285.529999999</v>
      </c>
      <c r="AB18">
        <f t="shared" si="0"/>
        <v>6.279596762265899E-4</v>
      </c>
    </row>
    <row r="19" spans="1:28" x14ac:dyDescent="0.3">
      <c r="A19" t="s">
        <v>37</v>
      </c>
      <c r="B19">
        <v>11288487.9</v>
      </c>
      <c r="C19">
        <v>12.717101</v>
      </c>
      <c r="D19">
        <v>11287757.880000001</v>
      </c>
      <c r="F19">
        <v>11281245</v>
      </c>
      <c r="G19">
        <v>22.03</v>
      </c>
      <c r="H19">
        <v>11288184.130000001</v>
      </c>
      <c r="I19">
        <v>22.04</v>
      </c>
      <c r="J19">
        <v>11287447.35</v>
      </c>
      <c r="K19">
        <v>21.95</v>
      </c>
      <c r="L19">
        <v>11287898.98</v>
      </c>
      <c r="M19">
        <v>22.07</v>
      </c>
      <c r="N19">
        <v>11270848.640000001</v>
      </c>
      <c r="O19">
        <v>23.18</v>
      </c>
      <c r="P19">
        <v>11287714.699999999</v>
      </c>
      <c r="Q19">
        <v>22.06</v>
      </c>
      <c r="R19">
        <v>11284797.699999999</v>
      </c>
      <c r="S19">
        <v>23.43</v>
      </c>
      <c r="T19">
        <v>11282710.810000001</v>
      </c>
      <c r="U19">
        <v>23.32</v>
      </c>
      <c r="V19">
        <v>11257161.800000001</v>
      </c>
      <c r="W19">
        <v>22.07</v>
      </c>
      <c r="X19">
        <v>11286076.279999999</v>
      </c>
      <c r="Y19">
        <v>22.14</v>
      </c>
      <c r="Z19">
        <v>11282922.67</v>
      </c>
      <c r="AB19">
        <f t="shared" si="0"/>
        <v>5.5135257961599058E-4</v>
      </c>
    </row>
    <row r="20" spans="1:28" x14ac:dyDescent="0.3">
      <c r="A20" t="s">
        <v>38</v>
      </c>
      <c r="B20">
        <v>11298109.199999999</v>
      </c>
      <c r="C20">
        <v>13.002034</v>
      </c>
      <c r="D20">
        <v>11299968.5</v>
      </c>
      <c r="F20">
        <v>11289469</v>
      </c>
      <c r="G20">
        <v>22.04</v>
      </c>
      <c r="H20">
        <v>11296771.58</v>
      </c>
      <c r="I20">
        <v>21.95</v>
      </c>
      <c r="J20">
        <v>11295482.439999999</v>
      </c>
      <c r="K20">
        <v>21.91</v>
      </c>
      <c r="L20">
        <v>11299602.83</v>
      </c>
      <c r="M20">
        <v>22.07</v>
      </c>
      <c r="N20">
        <v>11285244.24</v>
      </c>
      <c r="O20">
        <v>23.62</v>
      </c>
      <c r="P20">
        <v>11297864.140000001</v>
      </c>
      <c r="Q20">
        <v>22.09</v>
      </c>
      <c r="R20">
        <v>11295342.83</v>
      </c>
      <c r="S20">
        <v>23.87</v>
      </c>
      <c r="T20">
        <v>11290981.92</v>
      </c>
      <c r="U20">
        <v>23.12</v>
      </c>
      <c r="V20">
        <v>11269355.310000001</v>
      </c>
      <c r="W20">
        <v>21.99</v>
      </c>
      <c r="X20">
        <v>11298504.17</v>
      </c>
      <c r="Y20">
        <v>22.15</v>
      </c>
      <c r="Z20">
        <v>11295838.119999999</v>
      </c>
      <c r="AB20">
        <f t="shared" si="0"/>
        <v>5.1924519161818496E-4</v>
      </c>
    </row>
    <row r="21" spans="1:28" x14ac:dyDescent="0.3">
      <c r="A21" t="s">
        <v>39</v>
      </c>
      <c r="B21">
        <v>11295043.199999999</v>
      </c>
      <c r="C21">
        <v>10.427999</v>
      </c>
      <c r="D21">
        <v>11292868.17</v>
      </c>
      <c r="F21">
        <v>11288571</v>
      </c>
      <c r="G21">
        <v>22.02</v>
      </c>
      <c r="H21">
        <v>11291935.359999999</v>
      </c>
      <c r="I21">
        <v>22.09</v>
      </c>
      <c r="J21">
        <v>11290194.810000001</v>
      </c>
      <c r="K21">
        <v>21.74</v>
      </c>
      <c r="L21">
        <v>11294562.810000001</v>
      </c>
      <c r="M21">
        <v>22.01</v>
      </c>
      <c r="N21">
        <v>11279283.42</v>
      </c>
      <c r="O21">
        <v>23.46</v>
      </c>
      <c r="P21">
        <v>11293508</v>
      </c>
      <c r="Q21">
        <v>22.05</v>
      </c>
      <c r="R21">
        <v>11289439.98</v>
      </c>
      <c r="S21">
        <v>23.66</v>
      </c>
      <c r="T21">
        <v>11288283.029999999</v>
      </c>
      <c r="U21">
        <v>23.52</v>
      </c>
      <c r="V21">
        <v>11256037.039999999</v>
      </c>
      <c r="W21">
        <v>22.18</v>
      </c>
      <c r="X21">
        <v>11289048.380000001</v>
      </c>
      <c r="Y21">
        <v>22.21</v>
      </c>
      <c r="Z21">
        <v>11289084.279999999</v>
      </c>
      <c r="AB21">
        <f t="shared" si="0"/>
        <v>5.8414412917615435E-4</v>
      </c>
    </row>
    <row r="22" spans="1:28" x14ac:dyDescent="0.3">
      <c r="A22" t="s">
        <v>40</v>
      </c>
      <c r="B22">
        <v>11305855.6</v>
      </c>
      <c r="C22">
        <v>15.017287</v>
      </c>
      <c r="D22">
        <v>11308328.84</v>
      </c>
      <c r="F22">
        <v>11307105</v>
      </c>
      <c r="G22">
        <v>22.03</v>
      </c>
      <c r="H22">
        <v>11303831.84</v>
      </c>
      <c r="I22">
        <v>22.03</v>
      </c>
      <c r="J22">
        <v>11300207.26</v>
      </c>
      <c r="K22">
        <v>21.98</v>
      </c>
      <c r="L22">
        <v>11307776.4</v>
      </c>
      <c r="M22">
        <v>23.2</v>
      </c>
      <c r="N22">
        <v>11288036.23</v>
      </c>
      <c r="O22">
        <v>23.78</v>
      </c>
      <c r="P22">
        <v>11307251.470000001</v>
      </c>
      <c r="Q22">
        <v>21.96</v>
      </c>
      <c r="R22">
        <v>11298838.24</v>
      </c>
      <c r="S22">
        <v>23.32</v>
      </c>
      <c r="T22">
        <v>11297840.34</v>
      </c>
      <c r="U22">
        <v>23.29</v>
      </c>
      <c r="V22">
        <v>11269937.43</v>
      </c>
      <c r="W22">
        <v>22.08</v>
      </c>
      <c r="X22">
        <v>11305473.23</v>
      </c>
      <c r="Y22">
        <v>22.26</v>
      </c>
      <c r="Z22">
        <v>11300139.630000001</v>
      </c>
      <c r="AB22">
        <f t="shared" si="0"/>
        <v>6.3700090945688944E-4</v>
      </c>
    </row>
    <row r="23" spans="1:28" x14ac:dyDescent="0.3">
      <c r="A23" t="s">
        <v>0</v>
      </c>
      <c r="B23">
        <v>24901685.600000001</v>
      </c>
      <c r="C23">
        <v>22.331040000000002</v>
      </c>
      <c r="D23">
        <v>24901879</v>
      </c>
      <c r="F23" s="3" t="s">
        <v>10</v>
      </c>
      <c r="G23">
        <v>34.020000000000003</v>
      </c>
      <c r="H23">
        <v>24893907.699999999</v>
      </c>
      <c r="I23">
        <v>33.950000000000003</v>
      </c>
      <c r="J23">
        <v>24882225</v>
      </c>
      <c r="K23">
        <v>34.01</v>
      </c>
      <c r="L23">
        <v>24898664</v>
      </c>
      <c r="M23">
        <v>35.380000000000003</v>
      </c>
      <c r="N23">
        <v>24862397.699999999</v>
      </c>
      <c r="O23">
        <v>37.53</v>
      </c>
      <c r="P23">
        <v>24899889.699999999</v>
      </c>
      <c r="Q23">
        <v>33.82</v>
      </c>
      <c r="R23">
        <v>24881530.800000001</v>
      </c>
      <c r="S23">
        <v>34.43</v>
      </c>
      <c r="T23">
        <v>24887384</v>
      </c>
      <c r="U23">
        <v>36.700000000000003</v>
      </c>
      <c r="V23">
        <v>24828798.199999999</v>
      </c>
      <c r="W23">
        <v>34.17</v>
      </c>
      <c r="X23">
        <v>24890490.100000001</v>
      </c>
      <c r="Y23">
        <v>34.25</v>
      </c>
      <c r="Z23">
        <v>24884959.899999999</v>
      </c>
      <c r="AB23">
        <f t="shared" si="0"/>
        <v>5.5580505711305792E-4</v>
      </c>
    </row>
    <row r="24" spans="1:28" x14ac:dyDescent="0.3">
      <c r="A24" t="s">
        <v>1</v>
      </c>
      <c r="B24">
        <v>24894903.100000001</v>
      </c>
      <c r="C24">
        <v>24.08813</v>
      </c>
      <c r="D24">
        <v>24901136.199999999</v>
      </c>
      <c r="F24" s="3" t="s">
        <v>11</v>
      </c>
      <c r="G24">
        <v>33.94</v>
      </c>
      <c r="H24">
        <v>24891894.5</v>
      </c>
      <c r="I24">
        <v>33.92</v>
      </c>
      <c r="J24">
        <v>24878565</v>
      </c>
      <c r="K24">
        <v>33.85</v>
      </c>
      <c r="L24">
        <v>24897612</v>
      </c>
      <c r="M24">
        <v>35.200000000000003</v>
      </c>
      <c r="N24">
        <v>24856138</v>
      </c>
      <c r="O24">
        <v>37.56</v>
      </c>
      <c r="P24">
        <v>24897534.100000001</v>
      </c>
      <c r="Q24">
        <v>34.14</v>
      </c>
      <c r="R24">
        <v>24878479.399999999</v>
      </c>
      <c r="S24">
        <v>34.25</v>
      </c>
      <c r="T24">
        <v>24880745.399999999</v>
      </c>
      <c r="U24">
        <v>36.82</v>
      </c>
      <c r="V24">
        <v>24829847.800000001</v>
      </c>
      <c r="W24">
        <v>33.729999999999997</v>
      </c>
      <c r="X24">
        <v>24889712.899999999</v>
      </c>
      <c r="Y24">
        <v>34.36</v>
      </c>
      <c r="Z24">
        <v>24883666.5</v>
      </c>
      <c r="AB24">
        <f t="shared" si="0"/>
        <v>5.6705433540624889E-4</v>
      </c>
    </row>
    <row r="25" spans="1:28" x14ac:dyDescent="0.3">
      <c r="A25" t="s">
        <v>2</v>
      </c>
      <c r="B25">
        <v>43430159</v>
      </c>
      <c r="C25">
        <v>18.8169</v>
      </c>
      <c r="D25">
        <v>43428181.600000001</v>
      </c>
      <c r="F25" s="3" t="s">
        <v>12</v>
      </c>
      <c r="G25">
        <v>34.270000000000003</v>
      </c>
      <c r="H25">
        <v>43418850.899999999</v>
      </c>
      <c r="I25">
        <v>34.159999999999997</v>
      </c>
      <c r="J25">
        <v>43409362</v>
      </c>
      <c r="K25">
        <v>34.29</v>
      </c>
      <c r="L25">
        <v>43431949</v>
      </c>
      <c r="M25">
        <v>36.119999999999997</v>
      </c>
      <c r="N25">
        <v>43381157</v>
      </c>
      <c r="O25">
        <v>37.25</v>
      </c>
      <c r="P25">
        <v>43433890.399999999</v>
      </c>
      <c r="Q25">
        <v>34.5</v>
      </c>
      <c r="R25">
        <v>43407300.600000001</v>
      </c>
      <c r="S25">
        <v>34.159999999999997</v>
      </c>
      <c r="T25">
        <v>43410101.700000003</v>
      </c>
      <c r="U25">
        <v>36.4</v>
      </c>
      <c r="V25">
        <v>43334706.600000001</v>
      </c>
      <c r="W25">
        <v>33.9</v>
      </c>
      <c r="X25">
        <v>43420274.399999999</v>
      </c>
      <c r="Y25">
        <v>34.1</v>
      </c>
      <c r="Z25">
        <v>43407362.200000003</v>
      </c>
      <c r="AB25">
        <f t="shared" si="0"/>
        <v>4.1203792498426472E-4</v>
      </c>
    </row>
    <row r="26" spans="1:28" x14ac:dyDescent="0.3">
      <c r="A26" t="s">
        <v>3</v>
      </c>
      <c r="B26">
        <v>43451979.200000003</v>
      </c>
      <c r="C26">
        <v>20.51736</v>
      </c>
      <c r="D26">
        <v>43462768.399999999</v>
      </c>
      <c r="F26" s="3" t="s">
        <v>13</v>
      </c>
      <c r="G26">
        <v>34.32</v>
      </c>
      <c r="H26">
        <v>43438848.700000003</v>
      </c>
      <c r="I26">
        <v>33.97</v>
      </c>
      <c r="J26">
        <v>43437071</v>
      </c>
      <c r="K26">
        <v>33.67</v>
      </c>
      <c r="L26">
        <v>43453918</v>
      </c>
      <c r="M26">
        <v>34.520000000000003</v>
      </c>
      <c r="N26">
        <v>43383529</v>
      </c>
      <c r="O26">
        <v>36.729999999999997</v>
      </c>
      <c r="P26">
        <v>43454309.399999999</v>
      </c>
      <c r="Q26">
        <v>34.19</v>
      </c>
      <c r="R26">
        <v>43442227</v>
      </c>
      <c r="S26">
        <v>34.29</v>
      </c>
      <c r="T26">
        <v>43439529.299999997</v>
      </c>
      <c r="U26">
        <v>36.68</v>
      </c>
      <c r="V26">
        <v>43351899</v>
      </c>
      <c r="W26">
        <v>33.770000000000003</v>
      </c>
      <c r="X26">
        <v>43447550.700000003</v>
      </c>
      <c r="Y26">
        <v>34.25</v>
      </c>
      <c r="Z26">
        <v>43437712.200000003</v>
      </c>
      <c r="AB26">
        <f t="shared" si="0"/>
        <v>5.0445885725252239E-4</v>
      </c>
    </row>
    <row r="27" spans="1:28" x14ac:dyDescent="0.3">
      <c r="A27" t="s">
        <v>4</v>
      </c>
      <c r="B27">
        <v>43443934.5</v>
      </c>
      <c r="C27">
        <v>23.162089999999999</v>
      </c>
      <c r="D27">
        <v>43464564.600000001</v>
      </c>
      <c r="F27" s="3" t="s">
        <v>14</v>
      </c>
      <c r="G27">
        <v>34.17</v>
      </c>
      <c r="H27">
        <v>43431936.600000001</v>
      </c>
      <c r="I27">
        <v>34.15</v>
      </c>
      <c r="J27">
        <v>43421737</v>
      </c>
      <c r="K27">
        <v>33.9</v>
      </c>
      <c r="L27">
        <v>43457243</v>
      </c>
      <c r="M27">
        <v>36.76</v>
      </c>
      <c r="N27">
        <v>43374983</v>
      </c>
      <c r="O27">
        <v>36.86</v>
      </c>
      <c r="P27">
        <v>43457635.700000003</v>
      </c>
      <c r="Q27">
        <v>34.119999999999997</v>
      </c>
      <c r="R27">
        <v>43432488.5</v>
      </c>
      <c r="S27">
        <v>34.49</v>
      </c>
      <c r="T27">
        <v>43410074.399999999</v>
      </c>
      <c r="U27">
        <v>36.909999999999997</v>
      </c>
      <c r="V27">
        <v>43330402.799999997</v>
      </c>
      <c r="W27">
        <v>34.01</v>
      </c>
      <c r="X27">
        <v>43436043.200000003</v>
      </c>
      <c r="Y27">
        <v>34.299999999999997</v>
      </c>
      <c r="Z27">
        <v>43419557.200000003</v>
      </c>
      <c r="AB27">
        <f t="shared" si="0"/>
        <v>6.1473205813584184E-4</v>
      </c>
    </row>
    <row r="28" spans="1:28" x14ac:dyDescent="0.3">
      <c r="A28" t="s">
        <v>5</v>
      </c>
      <c r="B28">
        <v>66989903.100000001</v>
      </c>
      <c r="C28">
        <v>17.86534</v>
      </c>
      <c r="D28">
        <v>66996454.100000001</v>
      </c>
      <c r="F28" s="3" t="s">
        <v>15</v>
      </c>
      <c r="G28">
        <v>34.159999999999997</v>
      </c>
      <c r="H28">
        <v>66984569.700000003</v>
      </c>
      <c r="I28">
        <v>34.61</v>
      </c>
      <c r="J28">
        <v>66974056</v>
      </c>
      <c r="K28">
        <v>33.979999999999997</v>
      </c>
      <c r="L28">
        <v>66993980</v>
      </c>
      <c r="M28">
        <v>37.86</v>
      </c>
      <c r="N28">
        <v>66927693</v>
      </c>
      <c r="O28">
        <v>36.409999999999997</v>
      </c>
      <c r="P28">
        <v>66997518.5</v>
      </c>
      <c r="Q28">
        <v>34.22</v>
      </c>
      <c r="R28">
        <v>66974908.799999997</v>
      </c>
      <c r="S28">
        <v>34.26</v>
      </c>
      <c r="T28">
        <v>66961611.399999999</v>
      </c>
      <c r="U28">
        <v>37.229999999999997</v>
      </c>
      <c r="V28">
        <v>66883643.899999999</v>
      </c>
      <c r="W28">
        <v>34.5</v>
      </c>
      <c r="X28">
        <v>66980378.100000001</v>
      </c>
      <c r="Y28">
        <v>34.44</v>
      </c>
      <c r="Z28">
        <v>66972199</v>
      </c>
      <c r="AB28">
        <f t="shared" si="0"/>
        <v>3.3915963130750373E-4</v>
      </c>
    </row>
    <row r="29" spans="1:28" x14ac:dyDescent="0.3">
      <c r="A29" t="s">
        <v>6</v>
      </c>
      <c r="B29">
        <v>67009901</v>
      </c>
      <c r="C29">
        <v>19.28105</v>
      </c>
      <c r="D29">
        <v>67014886.700000003</v>
      </c>
      <c r="F29" s="3" t="s">
        <v>16</v>
      </c>
      <c r="G29">
        <v>34.21</v>
      </c>
      <c r="H29">
        <v>66993734.200000003</v>
      </c>
      <c r="I29">
        <v>34.42</v>
      </c>
      <c r="J29">
        <v>66992273</v>
      </c>
      <c r="K29">
        <v>34.36</v>
      </c>
      <c r="L29">
        <v>67011017</v>
      </c>
      <c r="M29">
        <v>37.75</v>
      </c>
      <c r="N29">
        <v>66947598</v>
      </c>
      <c r="O29">
        <v>38.21</v>
      </c>
      <c r="P29">
        <v>67013127.100000001</v>
      </c>
      <c r="Q29">
        <v>33.89</v>
      </c>
      <c r="R29">
        <v>66987853.299999997</v>
      </c>
      <c r="S29">
        <v>34.380000000000003</v>
      </c>
      <c r="T29">
        <v>66972607</v>
      </c>
      <c r="U29">
        <v>37.159999999999997</v>
      </c>
      <c r="V29">
        <v>66900061.5</v>
      </c>
      <c r="W29">
        <v>34.28</v>
      </c>
      <c r="X29">
        <v>66999356.200000003</v>
      </c>
      <c r="Y29">
        <v>34.630000000000003</v>
      </c>
      <c r="Z29">
        <v>66987272.200000003</v>
      </c>
      <c r="AB29">
        <f t="shared" si="0"/>
        <v>3.4125462690421971E-4</v>
      </c>
    </row>
    <row r="30" spans="1:28" x14ac:dyDescent="0.3">
      <c r="A30" t="s">
        <v>7</v>
      </c>
      <c r="B30">
        <v>95621133.799999997</v>
      </c>
      <c r="C30">
        <v>18.22523</v>
      </c>
      <c r="D30">
        <v>95620809.200000003</v>
      </c>
      <c r="F30" s="3" t="s">
        <v>17</v>
      </c>
      <c r="G30">
        <v>34.479999999999997</v>
      </c>
      <c r="H30">
        <v>95610420.900000006</v>
      </c>
      <c r="I30">
        <v>34.4</v>
      </c>
      <c r="J30">
        <v>95591267</v>
      </c>
      <c r="K30">
        <v>34.31</v>
      </c>
      <c r="L30">
        <v>95623943</v>
      </c>
      <c r="M30">
        <v>37.950000000000003</v>
      </c>
      <c r="N30">
        <v>95562345</v>
      </c>
      <c r="O30">
        <v>38.119999999999997</v>
      </c>
      <c r="P30">
        <v>95613471</v>
      </c>
      <c r="Q30">
        <v>34.409999999999997</v>
      </c>
      <c r="R30">
        <v>95591975.5</v>
      </c>
      <c r="S30">
        <v>34.42</v>
      </c>
      <c r="T30">
        <v>95584984</v>
      </c>
      <c r="U30">
        <v>35.99</v>
      </c>
      <c r="V30">
        <v>95501906</v>
      </c>
      <c r="W30">
        <v>34.130000000000003</v>
      </c>
      <c r="X30">
        <v>95597659.099999994</v>
      </c>
      <c r="Y30">
        <v>34.82</v>
      </c>
      <c r="Z30">
        <v>95586794.200000003</v>
      </c>
      <c r="AB30">
        <f t="shared" si="0"/>
        <v>2.3377537413577242E-4</v>
      </c>
    </row>
    <row r="31" spans="1:28" x14ac:dyDescent="0.3">
      <c r="A31" t="s">
        <v>8</v>
      </c>
      <c r="B31">
        <v>95511829.299999997</v>
      </c>
      <c r="C31">
        <v>23.27412</v>
      </c>
      <c r="D31">
        <v>95515440.099999994</v>
      </c>
      <c r="F31" s="3" t="s">
        <v>18</v>
      </c>
      <c r="G31">
        <v>34.93</v>
      </c>
      <c r="H31">
        <v>95502325.799999997</v>
      </c>
      <c r="I31">
        <v>34.82</v>
      </c>
      <c r="J31">
        <v>95490122</v>
      </c>
      <c r="K31">
        <v>34.549999999999997</v>
      </c>
      <c r="L31">
        <v>95508722</v>
      </c>
      <c r="M31">
        <v>36.11</v>
      </c>
      <c r="N31">
        <v>95439613</v>
      </c>
      <c r="O31">
        <v>37.61</v>
      </c>
      <c r="P31">
        <v>95510205.5</v>
      </c>
      <c r="Q31">
        <v>34.409999999999997</v>
      </c>
      <c r="R31">
        <v>95478999</v>
      </c>
      <c r="S31">
        <v>34.409999999999997</v>
      </c>
      <c r="T31">
        <v>95473546.5</v>
      </c>
      <c r="U31">
        <v>36.6</v>
      </c>
      <c r="V31">
        <v>95399921.200000003</v>
      </c>
      <c r="W31">
        <v>34.479999999999997</v>
      </c>
      <c r="X31">
        <v>95493863.599999994</v>
      </c>
      <c r="Y31">
        <v>34.630000000000003</v>
      </c>
      <c r="Z31">
        <v>95476234</v>
      </c>
      <c r="AB31">
        <f t="shared" si="0"/>
        <v>2.5954854248945756E-4</v>
      </c>
    </row>
    <row r="32" spans="1:28" x14ac:dyDescent="0.3">
      <c r="A32" t="s">
        <v>9</v>
      </c>
      <c r="B32">
        <v>95568207.299999997</v>
      </c>
      <c r="C32">
        <v>20.88616</v>
      </c>
      <c r="D32">
        <v>95573200.5</v>
      </c>
      <c r="F32" s="3" t="s">
        <v>19</v>
      </c>
      <c r="G32">
        <v>34.89</v>
      </c>
      <c r="H32">
        <v>95553543.5</v>
      </c>
      <c r="I32">
        <v>34.64</v>
      </c>
      <c r="J32">
        <v>95552313</v>
      </c>
      <c r="K32">
        <v>34.43</v>
      </c>
      <c r="L32">
        <v>95575492</v>
      </c>
      <c r="M32">
        <v>36.6</v>
      </c>
      <c r="N32">
        <v>95494256</v>
      </c>
      <c r="O32">
        <v>39.36</v>
      </c>
      <c r="P32">
        <v>95569788.200000003</v>
      </c>
      <c r="Q32">
        <v>34.32</v>
      </c>
      <c r="R32">
        <v>95544451.900000006</v>
      </c>
      <c r="S32">
        <v>34.49</v>
      </c>
      <c r="T32">
        <v>95536580.099999994</v>
      </c>
      <c r="U32">
        <v>35.229999999999997</v>
      </c>
      <c r="V32">
        <v>95456601.099999994</v>
      </c>
      <c r="W32">
        <v>34.75</v>
      </c>
      <c r="X32">
        <v>95556551.200000003</v>
      </c>
      <c r="Y32">
        <v>34.21</v>
      </c>
      <c r="Z32">
        <v>95543043.299999997</v>
      </c>
      <c r="AB32">
        <f t="shared" si="0"/>
        <v>2.515351266947099E-4</v>
      </c>
    </row>
  </sheetData>
  <mergeCells count="12">
    <mergeCell ref="M1:N1"/>
    <mergeCell ref="B1:C1"/>
    <mergeCell ref="D1:E1"/>
    <mergeCell ref="G1:H1"/>
    <mergeCell ref="I1:J1"/>
    <mergeCell ref="K1:L1"/>
    <mergeCell ref="Y1:Z1"/>
    <mergeCell ref="O1:P1"/>
    <mergeCell ref="Q1:R1"/>
    <mergeCell ref="S1:T1"/>
    <mergeCell ref="W1:X1"/>
    <mergeCell ref="U1:V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37CC-ABD6-4740-8229-4AFBBEF93717}">
  <dimension ref="A1:AO33"/>
  <sheetViews>
    <sheetView zoomScale="70" zoomScaleNormal="70" workbookViewId="0">
      <selection activeCell="AG26" sqref="AG26:AG31"/>
    </sheetView>
  </sheetViews>
  <sheetFormatPr defaultRowHeight="14.4" x14ac:dyDescent="0.3"/>
  <cols>
    <col min="1" max="1" width="16.77734375" customWidth="1"/>
    <col min="2" max="2" width="31.109375" customWidth="1"/>
    <col min="3" max="3" width="17.5546875" customWidth="1"/>
    <col min="5" max="5" width="13.6640625" customWidth="1"/>
    <col min="6" max="6" width="17.109375" customWidth="1"/>
    <col min="8" max="8" width="10.44140625" bestFit="1" customWidth="1"/>
    <col min="9" max="9" width="12.44140625" bestFit="1" customWidth="1"/>
    <col min="11" max="11" width="9.44140625" bestFit="1" customWidth="1"/>
    <col min="12" max="12" width="12.6640625" customWidth="1"/>
    <col min="13" max="13" width="14.21875" customWidth="1"/>
    <col min="14" max="14" width="17" customWidth="1"/>
    <col min="15" max="15" width="25.109375" customWidth="1"/>
    <col min="16" max="16" width="9" bestFit="1" customWidth="1"/>
    <col min="17" max="17" width="15.5546875" customWidth="1"/>
    <col min="18" max="18" width="13.44140625" customWidth="1"/>
    <col min="19" max="19" width="14.6640625" customWidth="1"/>
    <col min="20" max="20" width="19.77734375" customWidth="1"/>
    <col min="21" max="21" width="15.21875" customWidth="1"/>
    <col min="22" max="22" width="9" bestFit="1" customWidth="1"/>
    <col min="23" max="23" width="16.5546875" customWidth="1"/>
    <col min="24" max="24" width="22.88671875" customWidth="1"/>
    <col min="25" max="25" width="9" bestFit="1" customWidth="1"/>
    <col min="26" max="26" width="33.6640625" customWidth="1"/>
    <col min="27" max="27" width="18.44140625" customWidth="1"/>
    <col min="28" max="28" width="9" bestFit="1" customWidth="1"/>
    <col min="29" max="29" width="25.5546875" customWidth="1"/>
    <col min="30" max="30" width="13.33203125" customWidth="1"/>
    <col min="31" max="31" width="9" bestFit="1" customWidth="1"/>
    <col min="32" max="32" width="18.6640625" customWidth="1"/>
    <col min="33" max="33" width="30" customWidth="1"/>
    <col min="34" max="34" width="9" bestFit="1" customWidth="1"/>
    <col min="35" max="35" width="17.6640625" customWidth="1"/>
    <col min="36" max="36" width="21" customWidth="1"/>
    <col min="37" max="37" width="9" bestFit="1" customWidth="1"/>
    <col min="38" max="38" width="23" customWidth="1"/>
    <col min="39" max="39" width="18.44140625" customWidth="1"/>
    <col min="40" max="40" width="9" bestFit="1" customWidth="1"/>
    <col min="41" max="41" width="30.5546875" customWidth="1"/>
  </cols>
  <sheetData>
    <row r="1" spans="1:41" x14ac:dyDescent="0.3">
      <c r="A1" s="17" t="s">
        <v>20</v>
      </c>
      <c r="B1" s="19" t="s">
        <v>60</v>
      </c>
      <c r="C1" s="16" t="s">
        <v>44</v>
      </c>
      <c r="D1" s="16"/>
      <c r="E1" s="16"/>
      <c r="F1" s="16" t="s">
        <v>61</v>
      </c>
      <c r="G1" s="16"/>
      <c r="H1" s="16"/>
      <c r="I1" s="16" t="s">
        <v>62</v>
      </c>
      <c r="J1" s="16"/>
      <c r="K1" s="16"/>
      <c r="L1" s="15" t="s">
        <v>48</v>
      </c>
      <c r="M1" s="15"/>
      <c r="N1" s="12"/>
      <c r="O1" s="18" t="s">
        <v>49</v>
      </c>
      <c r="P1" s="17"/>
      <c r="Q1" s="17"/>
      <c r="R1" s="15" t="s">
        <v>50</v>
      </c>
      <c r="S1" s="15"/>
      <c r="T1" s="12"/>
      <c r="U1" s="11" t="s">
        <v>51</v>
      </c>
      <c r="V1" s="15"/>
      <c r="W1" s="15"/>
      <c r="X1" s="15" t="s">
        <v>52</v>
      </c>
      <c r="Y1" s="15"/>
      <c r="Z1" s="12"/>
      <c r="AA1" s="11" t="s">
        <v>53</v>
      </c>
      <c r="AB1" s="15"/>
      <c r="AC1" s="15"/>
      <c r="AD1" s="12" t="s">
        <v>54</v>
      </c>
      <c r="AE1" s="12"/>
      <c r="AF1" s="12"/>
      <c r="AG1" s="11" t="s">
        <v>55</v>
      </c>
      <c r="AH1" s="16"/>
      <c r="AI1" s="16"/>
      <c r="AJ1" s="15" t="s">
        <v>56</v>
      </c>
      <c r="AK1" s="15"/>
      <c r="AL1" s="15"/>
      <c r="AM1" s="15" t="s">
        <v>57</v>
      </c>
      <c r="AN1" s="15"/>
      <c r="AO1" s="15"/>
    </row>
    <row r="2" spans="1:41" x14ac:dyDescent="0.3">
      <c r="A2" s="17"/>
      <c r="B2" s="19"/>
      <c r="C2" t="s">
        <v>63</v>
      </c>
      <c r="D2" t="s">
        <v>64</v>
      </c>
      <c r="E2" s="6" t="s">
        <v>65</v>
      </c>
      <c r="F2" t="s">
        <v>63</v>
      </c>
      <c r="G2" t="s">
        <v>64</v>
      </c>
      <c r="H2" s="6" t="s">
        <v>65</v>
      </c>
      <c r="I2" t="s">
        <v>63</v>
      </c>
      <c r="J2" t="s">
        <v>64</v>
      </c>
      <c r="K2" s="6" t="s">
        <v>65</v>
      </c>
      <c r="L2" t="s">
        <v>63</v>
      </c>
      <c r="M2" t="s">
        <v>64</v>
      </c>
      <c r="N2" s="6" t="s">
        <v>65</v>
      </c>
      <c r="O2" t="s">
        <v>63</v>
      </c>
      <c r="P2" t="s">
        <v>64</v>
      </c>
      <c r="Q2" s="6" t="s">
        <v>65</v>
      </c>
      <c r="R2" t="s">
        <v>63</v>
      </c>
      <c r="S2" t="s">
        <v>64</v>
      </c>
      <c r="T2" s="6" t="s">
        <v>65</v>
      </c>
      <c r="U2" t="s">
        <v>63</v>
      </c>
      <c r="V2" t="s">
        <v>64</v>
      </c>
      <c r="W2" s="6" t="s">
        <v>65</v>
      </c>
      <c r="X2" t="s">
        <v>63</v>
      </c>
      <c r="Y2" t="s">
        <v>64</v>
      </c>
      <c r="Z2" s="6" t="s">
        <v>65</v>
      </c>
      <c r="AA2" t="s">
        <v>63</v>
      </c>
      <c r="AB2" t="s">
        <v>64</v>
      </c>
      <c r="AC2" s="6" t="s">
        <v>65</v>
      </c>
      <c r="AD2" t="s">
        <v>63</v>
      </c>
      <c r="AE2" t="s">
        <v>64</v>
      </c>
      <c r="AF2" t="s">
        <v>65</v>
      </c>
      <c r="AG2" t="s">
        <v>63</v>
      </c>
      <c r="AH2" t="s">
        <v>64</v>
      </c>
      <c r="AI2" t="s">
        <v>65</v>
      </c>
      <c r="AJ2" t="s">
        <v>63</v>
      </c>
      <c r="AK2" t="s">
        <v>64</v>
      </c>
      <c r="AL2" t="s">
        <v>65</v>
      </c>
      <c r="AM2" t="s">
        <v>63</v>
      </c>
      <c r="AN2" t="s">
        <v>64</v>
      </c>
      <c r="AO2" t="s">
        <v>65</v>
      </c>
    </row>
    <row r="3" spans="1:41" x14ac:dyDescent="0.3">
      <c r="A3" t="s">
        <v>21</v>
      </c>
      <c r="B3" s="5">
        <v>114327</v>
      </c>
      <c r="C3" s="5">
        <v>114281.7</v>
      </c>
      <c r="D3" s="5">
        <v>11.35</v>
      </c>
      <c r="E3" s="5">
        <f>C3*100/B3</f>
        <v>99.960376813875982</v>
      </c>
      <c r="F3" s="5">
        <v>114297</v>
      </c>
      <c r="G3">
        <v>11.86</v>
      </c>
      <c r="H3" s="5">
        <f>F3*100/B3</f>
        <v>99.973759479388065</v>
      </c>
      <c r="I3" s="5">
        <v>114225.5</v>
      </c>
      <c r="J3" t="s">
        <v>66</v>
      </c>
      <c r="K3" s="5">
        <f>I3*100/C3</f>
        <v>99.950823272667449</v>
      </c>
      <c r="L3" s="5">
        <v>114171.2</v>
      </c>
      <c r="M3" s="5">
        <v>11.49</v>
      </c>
      <c r="N3" s="5">
        <f>L3*100/B3</f>
        <v>99.863724229622051</v>
      </c>
      <c r="O3" s="5">
        <v>114213.3</v>
      </c>
      <c r="P3" s="5">
        <v>11.45</v>
      </c>
      <c r="Q3" s="5">
        <f>O3*100/B3</f>
        <v>99.900548426880789</v>
      </c>
      <c r="R3" s="5">
        <v>114308.1</v>
      </c>
      <c r="S3" s="5">
        <v>11.62</v>
      </c>
      <c r="T3" s="5">
        <f>R3*100/B3</f>
        <v>99.983468472014479</v>
      </c>
      <c r="U3" s="5">
        <v>113902.8</v>
      </c>
      <c r="V3" s="5">
        <v>11.57</v>
      </c>
      <c r="W3" s="5">
        <f>U3*100/B3</f>
        <v>99.628959038547322</v>
      </c>
      <c r="X3" s="5">
        <v>114291.4</v>
      </c>
      <c r="Y3" s="5">
        <v>12.17</v>
      </c>
      <c r="Z3" s="5">
        <f>X3*100/B3</f>
        <v>99.96886124887385</v>
      </c>
      <c r="AA3" s="5">
        <v>114118.5</v>
      </c>
      <c r="AB3" s="5">
        <v>11.53</v>
      </c>
      <c r="AC3" s="5">
        <f>AA3*100/B3</f>
        <v>99.817628381747099</v>
      </c>
      <c r="AD3" s="5">
        <v>114142.9</v>
      </c>
      <c r="AE3" s="5">
        <v>12.34</v>
      </c>
      <c r="AF3" s="5">
        <f>AD3*100/B3</f>
        <v>99.838970671844791</v>
      </c>
      <c r="AG3" s="5">
        <v>113738.8</v>
      </c>
      <c r="AH3" s="5">
        <v>12.22</v>
      </c>
      <c r="AI3" s="5">
        <f>AG3*100/B3</f>
        <v>99.485510859202108</v>
      </c>
      <c r="AJ3" s="5">
        <v>114171.9</v>
      </c>
      <c r="AK3" s="5">
        <v>12.57</v>
      </c>
      <c r="AL3" s="5">
        <f>AJ3*100/B3</f>
        <v>99.864336508436324</v>
      </c>
      <c r="AM3" s="5">
        <v>114205.4</v>
      </c>
      <c r="AN3" s="5">
        <v>11.47</v>
      </c>
      <c r="AO3">
        <f>AM3*100/B3</f>
        <v>99.893638423119654</v>
      </c>
    </row>
    <row r="4" spans="1:41" x14ac:dyDescent="0.3">
      <c r="A4" t="s">
        <v>22</v>
      </c>
      <c r="B4" s="5">
        <v>114093</v>
      </c>
      <c r="C4" s="5">
        <v>114049</v>
      </c>
      <c r="D4" s="10">
        <v>11.69</v>
      </c>
      <c r="E4" s="5">
        <f t="shared" ref="E4:E32" si="0">C4*100/B4</f>
        <v>99.961434969717686</v>
      </c>
      <c r="F4" s="5">
        <v>114045.4</v>
      </c>
      <c r="G4">
        <v>12.14</v>
      </c>
      <c r="H4" s="5">
        <f t="shared" ref="H4:H32" si="1">F4*100/B4</f>
        <v>99.958279649058227</v>
      </c>
      <c r="I4" s="5">
        <v>114054.6</v>
      </c>
      <c r="J4" t="s">
        <v>67</v>
      </c>
      <c r="K4" s="5">
        <f t="shared" ref="K4:K32" si="2">I4*100/C4</f>
        <v>100.00491017019</v>
      </c>
      <c r="L4" s="5">
        <v>114032</v>
      </c>
      <c r="M4" s="5">
        <v>11.65</v>
      </c>
      <c r="N4" s="5">
        <f t="shared" ref="N4:N32" si="3">L4*100/B4</f>
        <v>99.946534844381333</v>
      </c>
      <c r="O4" s="5">
        <v>114005.8</v>
      </c>
      <c r="P4" s="5">
        <v>11.45</v>
      </c>
      <c r="Q4" s="5">
        <f t="shared" ref="Q4:Q32" si="4">O4*100/B4</f>
        <v>99.923571121804144</v>
      </c>
      <c r="R4" s="5">
        <v>114045.2</v>
      </c>
      <c r="S4" s="5">
        <v>11.41</v>
      </c>
      <c r="T4" s="5">
        <f t="shared" ref="T4:T32" si="5">R4*100/B4</f>
        <v>99.958104353466027</v>
      </c>
      <c r="U4" s="5">
        <v>113843.5</v>
      </c>
      <c r="V4" s="5">
        <v>11.35</v>
      </c>
      <c r="W4" s="5">
        <f t="shared" ref="W4:W32" si="6">U4*100/B4</f>
        <v>99.781318748740063</v>
      </c>
      <c r="X4" s="5">
        <v>114056.4</v>
      </c>
      <c r="Y4" s="5">
        <v>12.3</v>
      </c>
      <c r="Z4" s="5">
        <f t="shared" ref="Z4:Z32" si="7">X4*100/B4</f>
        <v>99.967920906628805</v>
      </c>
      <c r="AA4" s="5">
        <v>113966.39999999999</v>
      </c>
      <c r="AB4" s="5">
        <v>11.49</v>
      </c>
      <c r="AC4" s="5">
        <f t="shared" ref="AC4:AC32" si="8">AA4*100/B4</f>
        <v>99.889037890142248</v>
      </c>
      <c r="AD4" s="5">
        <v>113927.7</v>
      </c>
      <c r="AE4" s="5">
        <v>12.18</v>
      </c>
      <c r="AF4" s="5">
        <f t="shared" ref="AF4:AF32" si="9">AD4*100/B4</f>
        <v>99.85511819305303</v>
      </c>
      <c r="AG4" s="5">
        <v>113576.1</v>
      </c>
      <c r="AH4" s="5">
        <v>11.72</v>
      </c>
      <c r="AI4" s="5">
        <f t="shared" ref="AI4:AI32" si="10">AG4*100/B4</f>
        <v>99.546948541978907</v>
      </c>
      <c r="AJ4" s="5">
        <v>113998.1</v>
      </c>
      <c r="AK4" s="5">
        <v>11.64</v>
      </c>
      <c r="AL4" s="5">
        <f t="shared" ref="AL4:AL32" si="11">AJ4*100/B4</f>
        <v>99.916822241504732</v>
      </c>
      <c r="AM4" s="5">
        <v>113990.39999999999</v>
      </c>
      <c r="AN4" s="5">
        <v>11.45</v>
      </c>
      <c r="AO4">
        <f t="shared" ref="AO4:AO32" si="12">AM4*100/B4</f>
        <v>99.910073361205335</v>
      </c>
    </row>
    <row r="5" spans="1:41" x14ac:dyDescent="0.3">
      <c r="A5" t="s">
        <v>23</v>
      </c>
      <c r="B5" s="5">
        <v>114265</v>
      </c>
      <c r="C5" s="5">
        <v>114228.2</v>
      </c>
      <c r="D5" s="10">
        <v>11.75</v>
      </c>
      <c r="E5" s="5">
        <f t="shared" si="0"/>
        <v>99.967794162691987</v>
      </c>
      <c r="F5" s="5">
        <v>114232.5</v>
      </c>
      <c r="G5">
        <v>13.14</v>
      </c>
      <c r="H5" s="5">
        <f t="shared" si="1"/>
        <v>99.97155734476874</v>
      </c>
      <c r="I5" s="5">
        <v>114243.8</v>
      </c>
      <c r="J5" t="s">
        <v>68</v>
      </c>
      <c r="K5" s="5">
        <f t="shared" si="2"/>
        <v>100.01365687282124</v>
      </c>
      <c r="L5" s="5">
        <v>114218.2</v>
      </c>
      <c r="M5" s="5">
        <v>11.46</v>
      </c>
      <c r="N5" s="5">
        <f t="shared" si="3"/>
        <v>99.959042576466985</v>
      </c>
      <c r="O5" s="5">
        <v>114212.5</v>
      </c>
      <c r="P5" s="5">
        <v>11.39</v>
      </c>
      <c r="Q5" s="5">
        <f t="shared" si="4"/>
        <v>99.954054172318735</v>
      </c>
      <c r="R5" s="5">
        <v>114229.5</v>
      </c>
      <c r="S5" s="5">
        <v>12.56</v>
      </c>
      <c r="T5" s="5">
        <f t="shared" si="5"/>
        <v>99.968931868901237</v>
      </c>
      <c r="U5" s="5">
        <v>113967.1</v>
      </c>
      <c r="V5" s="5">
        <v>11.48</v>
      </c>
      <c r="W5" s="5">
        <f t="shared" si="6"/>
        <v>99.739290246357157</v>
      </c>
      <c r="X5" s="5">
        <v>114209.60000000001</v>
      </c>
      <c r="Y5" s="5">
        <v>12.5</v>
      </c>
      <c r="Z5" s="5">
        <f t="shared" si="7"/>
        <v>99.951516212313479</v>
      </c>
      <c r="AA5" s="5">
        <v>114145.1</v>
      </c>
      <c r="AB5" s="5">
        <v>11.35</v>
      </c>
      <c r="AC5" s="5">
        <f t="shared" si="8"/>
        <v>99.895068481162212</v>
      </c>
      <c r="AD5" s="5">
        <v>114107.4</v>
      </c>
      <c r="AE5" s="5">
        <v>12.18</v>
      </c>
      <c r="AF5" s="5">
        <f t="shared" si="9"/>
        <v>99.862075001093942</v>
      </c>
      <c r="AG5" s="5">
        <v>113837.7</v>
      </c>
      <c r="AH5" s="5">
        <v>11.95</v>
      </c>
      <c r="AI5" s="5">
        <f t="shared" si="10"/>
        <v>99.626044720605606</v>
      </c>
      <c r="AJ5" s="5">
        <v>114208.6</v>
      </c>
      <c r="AK5" s="5">
        <v>11.97</v>
      </c>
      <c r="AL5" s="5">
        <f t="shared" si="11"/>
        <v>99.950641053690987</v>
      </c>
      <c r="AM5" s="5">
        <v>114199.6</v>
      </c>
      <c r="AN5" s="5">
        <v>11.41</v>
      </c>
      <c r="AO5">
        <f t="shared" si="12"/>
        <v>99.942764626088476</v>
      </c>
    </row>
    <row r="6" spans="1:41" ht="15" x14ac:dyDescent="0.35">
      <c r="A6" s="2" t="s">
        <v>24</v>
      </c>
      <c r="B6" s="5">
        <v>114327</v>
      </c>
      <c r="C6" s="5">
        <v>114207.8</v>
      </c>
      <c r="D6" s="10">
        <v>11.7</v>
      </c>
      <c r="E6" s="5">
        <f t="shared" si="0"/>
        <v>99.895737664768603</v>
      </c>
      <c r="F6" s="5">
        <v>114262</v>
      </c>
      <c r="G6">
        <v>12.56</v>
      </c>
      <c r="H6" s="5">
        <f t="shared" si="1"/>
        <v>99.943145538674159</v>
      </c>
      <c r="I6" s="5">
        <v>114236.5</v>
      </c>
      <c r="J6" t="s">
        <v>69</v>
      </c>
      <c r="K6" s="5">
        <f t="shared" si="2"/>
        <v>100.02512963212671</v>
      </c>
      <c r="L6" s="5">
        <v>114152.4</v>
      </c>
      <c r="M6" s="5">
        <v>11.45</v>
      </c>
      <c r="N6" s="5">
        <f t="shared" si="3"/>
        <v>99.847280170038573</v>
      </c>
      <c r="O6" s="5">
        <v>114169.4</v>
      </c>
      <c r="P6" s="5">
        <v>11.46</v>
      </c>
      <c r="Q6" s="5">
        <f t="shared" si="4"/>
        <v>99.862149798385332</v>
      </c>
      <c r="R6" s="5">
        <v>114286</v>
      </c>
      <c r="S6" s="5">
        <v>12.66</v>
      </c>
      <c r="T6" s="5">
        <f t="shared" si="5"/>
        <v>99.964137955163693</v>
      </c>
      <c r="U6" s="5">
        <v>113915.8</v>
      </c>
      <c r="V6" s="5">
        <v>11.75</v>
      </c>
      <c r="W6" s="5">
        <f t="shared" si="6"/>
        <v>99.640329930812499</v>
      </c>
      <c r="X6" s="5">
        <v>114260.6</v>
      </c>
      <c r="Y6" s="5">
        <v>12.64</v>
      </c>
      <c r="Z6" s="5">
        <f t="shared" si="7"/>
        <v>99.941920981045598</v>
      </c>
      <c r="AA6" s="5">
        <v>114119.4</v>
      </c>
      <c r="AB6" s="5">
        <v>11.43</v>
      </c>
      <c r="AC6" s="5">
        <f t="shared" si="8"/>
        <v>99.818415597365458</v>
      </c>
      <c r="AD6" s="5">
        <v>114026.8</v>
      </c>
      <c r="AE6" s="5">
        <v>12.23</v>
      </c>
      <c r="AF6" s="5">
        <f t="shared" si="9"/>
        <v>99.737419857076631</v>
      </c>
      <c r="AG6" s="5">
        <v>113704</v>
      </c>
      <c r="AH6" s="5">
        <v>11.97</v>
      </c>
      <c r="AI6" s="5">
        <f t="shared" si="10"/>
        <v>99.455071855292275</v>
      </c>
      <c r="AJ6" s="5">
        <v>114151.5</v>
      </c>
      <c r="AK6" s="5">
        <v>12.65</v>
      </c>
      <c r="AL6" s="5">
        <f t="shared" si="11"/>
        <v>99.846492954420214</v>
      </c>
      <c r="AM6" s="5">
        <v>114143.4</v>
      </c>
      <c r="AN6" s="5">
        <v>11.41</v>
      </c>
      <c r="AO6">
        <f t="shared" si="12"/>
        <v>99.839408013854992</v>
      </c>
    </row>
    <row r="7" spans="1:41" x14ac:dyDescent="0.3">
      <c r="A7" t="s">
        <v>25</v>
      </c>
      <c r="B7" s="5">
        <v>114229</v>
      </c>
      <c r="C7" s="5">
        <v>114176.7</v>
      </c>
      <c r="D7" s="10">
        <v>11.87</v>
      </c>
      <c r="E7" s="5">
        <f t="shared" si="0"/>
        <v>99.954214779084126</v>
      </c>
      <c r="F7" s="5">
        <v>114207.1</v>
      </c>
      <c r="G7">
        <v>12.9</v>
      </c>
      <c r="H7" s="5">
        <f t="shared" si="1"/>
        <v>99.980827985887998</v>
      </c>
      <c r="I7" s="5">
        <v>114193.4</v>
      </c>
      <c r="J7" t="s">
        <v>70</v>
      </c>
      <c r="K7" s="5">
        <f t="shared" si="2"/>
        <v>100.01462645180672</v>
      </c>
      <c r="L7" s="5">
        <v>114161.2</v>
      </c>
      <c r="M7" s="5">
        <v>11.33</v>
      </c>
      <c r="N7" s="5">
        <f t="shared" si="3"/>
        <v>99.940645545351884</v>
      </c>
      <c r="O7" s="5">
        <v>114170.5</v>
      </c>
      <c r="P7" s="5">
        <v>11.37</v>
      </c>
      <c r="Q7" s="5">
        <f t="shared" si="4"/>
        <v>99.948787085591221</v>
      </c>
      <c r="R7" s="5">
        <v>114187.2</v>
      </c>
      <c r="S7" s="5">
        <v>12.04</v>
      </c>
      <c r="T7" s="5">
        <f t="shared" si="5"/>
        <v>99.963406840644666</v>
      </c>
      <c r="U7" s="5">
        <v>113869</v>
      </c>
      <c r="V7" s="5">
        <v>11.53</v>
      </c>
      <c r="W7" s="5">
        <f t="shared" si="6"/>
        <v>99.684843603638299</v>
      </c>
      <c r="X7" s="5">
        <v>114204.6</v>
      </c>
      <c r="Y7" s="5">
        <v>12.48</v>
      </c>
      <c r="Z7" s="5">
        <f t="shared" si="7"/>
        <v>99.978639399802148</v>
      </c>
      <c r="AA7" s="5">
        <v>114084.3</v>
      </c>
      <c r="AB7" s="5">
        <v>11.43</v>
      </c>
      <c r="AC7" s="5">
        <f t="shared" si="8"/>
        <v>99.873324637351288</v>
      </c>
      <c r="AD7" s="5">
        <v>113998.9</v>
      </c>
      <c r="AE7" s="5">
        <v>12.47</v>
      </c>
      <c r="AF7" s="5">
        <f t="shared" si="9"/>
        <v>99.798562536658821</v>
      </c>
      <c r="AG7" s="5">
        <v>113730.5</v>
      </c>
      <c r="AH7" s="5">
        <v>11.91</v>
      </c>
      <c r="AI7" s="5">
        <f t="shared" si="10"/>
        <v>99.563595934482493</v>
      </c>
      <c r="AJ7" s="5">
        <v>114147.2</v>
      </c>
      <c r="AK7" s="5">
        <v>11.47</v>
      </c>
      <c r="AL7" s="5">
        <f t="shared" si="11"/>
        <v>99.928389463271145</v>
      </c>
      <c r="AM7" s="5">
        <v>114097.2</v>
      </c>
      <c r="AN7" s="5">
        <v>11.37</v>
      </c>
      <c r="AO7">
        <f t="shared" si="12"/>
        <v>99.884617741554251</v>
      </c>
    </row>
    <row r="8" spans="1:41" x14ac:dyDescent="0.3">
      <c r="A8" t="s">
        <v>26</v>
      </c>
      <c r="B8" s="5">
        <v>114214</v>
      </c>
      <c r="C8" s="5">
        <v>114143.4</v>
      </c>
      <c r="D8" s="10">
        <v>11.76</v>
      </c>
      <c r="E8" s="5">
        <f t="shared" si="0"/>
        <v>99.938186211847935</v>
      </c>
      <c r="F8" s="5">
        <v>114189.7</v>
      </c>
      <c r="G8">
        <v>12.04</v>
      </c>
      <c r="H8" s="5">
        <f t="shared" si="1"/>
        <v>99.978724149403746</v>
      </c>
      <c r="I8" s="5">
        <v>114145.3</v>
      </c>
      <c r="J8" t="s">
        <v>71</v>
      </c>
      <c r="K8" s="5">
        <f t="shared" si="2"/>
        <v>100.00166457280929</v>
      </c>
      <c r="L8" s="5">
        <v>114120.8</v>
      </c>
      <c r="M8" s="5">
        <v>11.48</v>
      </c>
      <c r="N8" s="5">
        <f t="shared" si="3"/>
        <v>99.918398795244016</v>
      </c>
      <c r="O8" s="5">
        <v>114095</v>
      </c>
      <c r="P8" s="5">
        <v>11.35</v>
      </c>
      <c r="Q8" s="5">
        <f t="shared" si="4"/>
        <v>99.89580962053688</v>
      </c>
      <c r="R8" s="5">
        <v>114160.1</v>
      </c>
      <c r="S8" s="5">
        <v>11.73</v>
      </c>
      <c r="T8" s="5">
        <f t="shared" si="5"/>
        <v>99.95280788694906</v>
      </c>
      <c r="U8" s="5">
        <v>113907</v>
      </c>
      <c r="V8" s="5">
        <v>11.75</v>
      </c>
      <c r="W8" s="5">
        <f t="shared" si="6"/>
        <v>99.731206331973311</v>
      </c>
      <c r="X8" s="5">
        <v>114157.6</v>
      </c>
      <c r="Y8" s="5">
        <v>12.99</v>
      </c>
      <c r="Z8" s="5">
        <f t="shared" si="7"/>
        <v>99.950619013430924</v>
      </c>
      <c r="AA8" s="5">
        <v>114092.3</v>
      </c>
      <c r="AB8" s="5">
        <v>11.45</v>
      </c>
      <c r="AC8" s="5">
        <f t="shared" si="8"/>
        <v>99.893445637137305</v>
      </c>
      <c r="AD8" s="5">
        <v>113972.1</v>
      </c>
      <c r="AE8" s="5">
        <v>12.16</v>
      </c>
      <c r="AF8" s="5">
        <f t="shared" si="9"/>
        <v>99.788204598385491</v>
      </c>
      <c r="AG8" s="5">
        <v>113614.7</v>
      </c>
      <c r="AH8" s="5">
        <v>11.99</v>
      </c>
      <c r="AI8" s="5">
        <f t="shared" si="10"/>
        <v>99.475283240233253</v>
      </c>
      <c r="AJ8" s="5">
        <v>114105</v>
      </c>
      <c r="AK8" s="5">
        <v>11.52</v>
      </c>
      <c r="AL8" s="5">
        <f t="shared" si="11"/>
        <v>99.904565114609412</v>
      </c>
      <c r="AM8" s="5">
        <v>114073.9</v>
      </c>
      <c r="AN8" s="5">
        <v>11.84</v>
      </c>
      <c r="AO8">
        <f t="shared" si="12"/>
        <v>99.877335528043844</v>
      </c>
    </row>
    <row r="9" spans="1:41" x14ac:dyDescent="0.3">
      <c r="A9" t="s">
        <v>27</v>
      </c>
      <c r="B9" s="5">
        <v>114216</v>
      </c>
      <c r="C9" s="5">
        <v>114178.1</v>
      </c>
      <c r="D9" s="10">
        <v>11.67</v>
      </c>
      <c r="E9" s="5">
        <f t="shared" si="0"/>
        <v>99.966817258527698</v>
      </c>
      <c r="F9" s="5">
        <v>114173.5</v>
      </c>
      <c r="G9">
        <v>12.39</v>
      </c>
      <c r="H9" s="5">
        <f t="shared" si="1"/>
        <v>99.962789801779081</v>
      </c>
      <c r="I9" s="5">
        <v>114147.7</v>
      </c>
      <c r="J9" t="s">
        <v>72</v>
      </c>
      <c r="K9" s="5">
        <f t="shared" si="2"/>
        <v>99.973374929167676</v>
      </c>
      <c r="L9" s="5">
        <v>114147</v>
      </c>
      <c r="M9" s="5">
        <v>11.48</v>
      </c>
      <c r="N9" s="5">
        <f t="shared" si="3"/>
        <v>99.939588148770753</v>
      </c>
      <c r="O9" s="5">
        <v>114093</v>
      </c>
      <c r="P9" s="5">
        <v>11.36</v>
      </c>
      <c r="Q9" s="5">
        <f t="shared" si="4"/>
        <v>99.892309308678293</v>
      </c>
      <c r="R9" s="5">
        <v>114204.9</v>
      </c>
      <c r="S9" s="5">
        <v>11.74</v>
      </c>
      <c r="T9" s="5">
        <f t="shared" si="5"/>
        <v>99.990281571758771</v>
      </c>
      <c r="U9" s="5">
        <v>113832.4</v>
      </c>
      <c r="V9" s="5">
        <v>11.65</v>
      </c>
      <c r="W9" s="5">
        <f t="shared" si="6"/>
        <v>99.664145128528403</v>
      </c>
      <c r="X9" s="5">
        <v>114128.1</v>
      </c>
      <c r="Y9" s="5">
        <v>14.46</v>
      </c>
      <c r="Z9" s="5">
        <f t="shared" si="7"/>
        <v>99.923040554738392</v>
      </c>
      <c r="AA9" s="5">
        <v>114035.2</v>
      </c>
      <c r="AB9" s="5">
        <v>11.44</v>
      </c>
      <c r="AC9" s="5">
        <f t="shared" si="8"/>
        <v>99.841703439097856</v>
      </c>
      <c r="AD9" s="5">
        <v>113945.1</v>
      </c>
      <c r="AE9" s="5">
        <v>12.21</v>
      </c>
      <c r="AF9" s="5">
        <f t="shared" si="9"/>
        <v>99.762817818869507</v>
      </c>
      <c r="AG9" s="5">
        <v>113535</v>
      </c>
      <c r="AH9" s="5">
        <v>12.01</v>
      </c>
      <c r="AI9" s="5">
        <f t="shared" si="10"/>
        <v>99.403761294389582</v>
      </c>
      <c r="AJ9" s="5">
        <v>114087.8</v>
      </c>
      <c r="AK9" s="5">
        <v>11.46</v>
      </c>
      <c r="AL9" s="5">
        <f t="shared" si="11"/>
        <v>99.8877565314842</v>
      </c>
      <c r="AM9" s="5">
        <v>114085.3</v>
      </c>
      <c r="AN9" s="5">
        <v>12.5</v>
      </c>
      <c r="AO9">
        <f t="shared" si="12"/>
        <v>99.885567696294743</v>
      </c>
    </row>
    <row r="10" spans="1:41" x14ac:dyDescent="0.3">
      <c r="A10" t="s">
        <v>28</v>
      </c>
      <c r="B10" s="5">
        <v>114335</v>
      </c>
      <c r="C10" s="5">
        <v>114286.9</v>
      </c>
      <c r="D10" s="10">
        <v>11.74</v>
      </c>
      <c r="E10" s="5">
        <f t="shared" si="0"/>
        <v>99.95793064241046</v>
      </c>
      <c r="F10" s="5">
        <v>114313.4</v>
      </c>
      <c r="G10">
        <v>11.82</v>
      </c>
      <c r="H10" s="5">
        <f t="shared" si="1"/>
        <v>99.981108147111556</v>
      </c>
      <c r="I10" s="5">
        <v>114308.4</v>
      </c>
      <c r="J10" t="s">
        <v>73</v>
      </c>
      <c r="K10" s="5">
        <f t="shared" si="2"/>
        <v>100.01881230482235</v>
      </c>
      <c r="L10" s="5">
        <v>114279</v>
      </c>
      <c r="M10" s="5">
        <v>11.46</v>
      </c>
      <c r="N10" s="5">
        <f t="shared" si="3"/>
        <v>99.951021122141071</v>
      </c>
      <c r="O10" s="5">
        <v>114267.1</v>
      </c>
      <c r="P10" s="5">
        <v>11.55</v>
      </c>
      <c r="Q10" s="5">
        <f t="shared" si="4"/>
        <v>99.940613110596061</v>
      </c>
      <c r="R10" s="5">
        <v>114312.6</v>
      </c>
      <c r="S10" s="5">
        <v>11.37</v>
      </c>
      <c r="T10" s="5">
        <f t="shared" si="5"/>
        <v>99.980408448856437</v>
      </c>
      <c r="U10" s="5">
        <v>114008.4</v>
      </c>
      <c r="V10" s="5">
        <v>11.54</v>
      </c>
      <c r="W10" s="5">
        <f t="shared" si="6"/>
        <v>99.714348187344214</v>
      </c>
      <c r="X10" s="5">
        <v>114278.5</v>
      </c>
      <c r="Y10" s="5">
        <v>14.6</v>
      </c>
      <c r="Z10" s="5">
        <f t="shared" si="7"/>
        <v>99.950583810731615</v>
      </c>
      <c r="AA10" s="5">
        <v>114204.1</v>
      </c>
      <c r="AB10" s="5">
        <v>11.44</v>
      </c>
      <c r="AC10" s="5">
        <f t="shared" si="8"/>
        <v>99.885511873004774</v>
      </c>
      <c r="AD10" s="5">
        <v>114096.2</v>
      </c>
      <c r="AE10" s="5">
        <v>12.2</v>
      </c>
      <c r="AF10" s="5">
        <f t="shared" si="9"/>
        <v>99.791140070844449</v>
      </c>
      <c r="AG10" s="5">
        <v>113809.8</v>
      </c>
      <c r="AH10" s="5">
        <v>11.94</v>
      </c>
      <c r="AI10" s="5">
        <f t="shared" si="10"/>
        <v>99.540648095508814</v>
      </c>
      <c r="AJ10" s="5">
        <v>114286.6</v>
      </c>
      <c r="AK10" s="5">
        <v>11.43</v>
      </c>
      <c r="AL10" s="5">
        <f t="shared" si="11"/>
        <v>99.957668255564784</v>
      </c>
      <c r="AM10" s="5">
        <v>114217.7</v>
      </c>
      <c r="AN10" s="5">
        <v>12.11</v>
      </c>
      <c r="AO10">
        <f t="shared" si="12"/>
        <v>99.897406743341932</v>
      </c>
    </row>
    <row r="11" spans="1:41" x14ac:dyDescent="0.3">
      <c r="A11" t="s">
        <v>29</v>
      </c>
      <c r="B11" s="5">
        <v>114408</v>
      </c>
      <c r="C11" s="5">
        <v>114400.6</v>
      </c>
      <c r="D11" s="10">
        <v>11.61</v>
      </c>
      <c r="E11" s="5">
        <f t="shared" si="0"/>
        <v>99.993531920844703</v>
      </c>
      <c r="F11" s="5">
        <v>114387.4</v>
      </c>
      <c r="G11">
        <v>12.8</v>
      </c>
      <c r="H11" s="5">
        <f t="shared" si="1"/>
        <v>99.981994266135231</v>
      </c>
      <c r="I11" s="5">
        <v>114378.6</v>
      </c>
      <c r="J11" t="s">
        <v>74</v>
      </c>
      <c r="K11" s="5">
        <f t="shared" si="2"/>
        <v>99.980769331629375</v>
      </c>
      <c r="L11" s="5">
        <v>114279</v>
      </c>
      <c r="M11" s="5">
        <v>11.54</v>
      </c>
      <c r="N11" s="5">
        <f t="shared" si="3"/>
        <v>99.887245647157542</v>
      </c>
      <c r="O11" s="5">
        <v>114338.8</v>
      </c>
      <c r="P11" s="5">
        <v>11.33</v>
      </c>
      <c r="Q11" s="5">
        <f t="shared" si="4"/>
        <v>99.939514719250397</v>
      </c>
      <c r="R11" s="5">
        <v>114397.7</v>
      </c>
      <c r="S11" s="5">
        <v>11.36</v>
      </c>
      <c r="T11" s="5">
        <f t="shared" si="5"/>
        <v>99.990997133067623</v>
      </c>
      <c r="U11" s="5">
        <v>114117.9</v>
      </c>
      <c r="V11" s="5">
        <v>11.89</v>
      </c>
      <c r="W11" s="5">
        <f t="shared" si="6"/>
        <v>99.74643381581707</v>
      </c>
      <c r="X11" s="5">
        <v>114384</v>
      </c>
      <c r="Y11" s="5">
        <v>12.92</v>
      </c>
      <c r="Z11" s="5">
        <f t="shared" si="7"/>
        <v>99.979022445982793</v>
      </c>
      <c r="AA11" s="5">
        <v>114349</v>
      </c>
      <c r="AB11" s="5">
        <v>11.42</v>
      </c>
      <c r="AC11" s="5">
        <f t="shared" si="8"/>
        <v>99.948430179707714</v>
      </c>
      <c r="AD11" s="5">
        <v>114153.5</v>
      </c>
      <c r="AE11" s="5">
        <v>12.35</v>
      </c>
      <c r="AF11" s="5">
        <f t="shared" si="9"/>
        <v>99.777550520942597</v>
      </c>
      <c r="AG11" s="5">
        <v>113892.9</v>
      </c>
      <c r="AH11" s="5">
        <v>12.56</v>
      </c>
      <c r="AI11" s="5">
        <f t="shared" si="10"/>
        <v>99.549769246905811</v>
      </c>
      <c r="AJ11" s="5">
        <v>114360.8</v>
      </c>
      <c r="AK11" s="5">
        <v>11.42</v>
      </c>
      <c r="AL11" s="5">
        <f t="shared" si="11"/>
        <v>99.958744143766168</v>
      </c>
      <c r="AM11" s="5">
        <v>114274.8</v>
      </c>
      <c r="AN11" s="5">
        <v>11.89</v>
      </c>
      <c r="AO11">
        <f t="shared" si="12"/>
        <v>99.883574575204534</v>
      </c>
    </row>
    <row r="12" spans="1:41" x14ac:dyDescent="0.3">
      <c r="A12" t="s">
        <v>30</v>
      </c>
      <c r="B12" s="5">
        <v>114349</v>
      </c>
      <c r="C12" s="5">
        <v>114256.5</v>
      </c>
      <c r="D12" s="10">
        <v>11.77</v>
      </c>
      <c r="E12" s="5">
        <f t="shared" si="0"/>
        <v>99.91910729433576</v>
      </c>
      <c r="F12" s="5">
        <v>114290.5</v>
      </c>
      <c r="G12">
        <v>12.14</v>
      </c>
      <c r="H12" s="5">
        <f t="shared" si="1"/>
        <v>99.948840829390718</v>
      </c>
      <c r="I12" s="5">
        <v>114275.1</v>
      </c>
      <c r="J12" t="s">
        <v>75</v>
      </c>
      <c r="K12" s="5">
        <f t="shared" si="2"/>
        <v>100.01627916136063</v>
      </c>
      <c r="L12" s="5">
        <v>114253</v>
      </c>
      <c r="M12" s="5">
        <v>11.48</v>
      </c>
      <c r="N12" s="5">
        <f t="shared" si="3"/>
        <v>99.916046489256573</v>
      </c>
      <c r="O12" s="5">
        <v>114220.4</v>
      </c>
      <c r="P12" s="5">
        <v>11.43</v>
      </c>
      <c r="Q12" s="5">
        <f t="shared" si="4"/>
        <v>99.887537276233289</v>
      </c>
      <c r="R12" s="5">
        <v>114285.1</v>
      </c>
      <c r="S12" s="5">
        <v>11.42</v>
      </c>
      <c r="T12" s="5">
        <f t="shared" si="5"/>
        <v>99.944118444411401</v>
      </c>
      <c r="U12" s="5">
        <v>114005.6</v>
      </c>
      <c r="V12" s="5">
        <v>11.83</v>
      </c>
      <c r="W12" s="5">
        <f t="shared" si="6"/>
        <v>99.699691295944874</v>
      </c>
      <c r="X12" s="5">
        <v>114244.8</v>
      </c>
      <c r="Y12" s="5">
        <v>12.68</v>
      </c>
      <c r="Z12" s="5">
        <f t="shared" si="7"/>
        <v>99.908875460213906</v>
      </c>
      <c r="AA12" s="5">
        <v>114139.7</v>
      </c>
      <c r="AB12" s="5">
        <v>11.45</v>
      </c>
      <c r="AC12" s="5">
        <f t="shared" si="8"/>
        <v>99.816963856264593</v>
      </c>
      <c r="AD12" s="5">
        <v>114126.2</v>
      </c>
      <c r="AE12" s="5">
        <v>12.23</v>
      </c>
      <c r="AF12" s="5">
        <f t="shared" si="9"/>
        <v>99.8051578938163</v>
      </c>
      <c r="AG12" s="5">
        <v>113775.2</v>
      </c>
      <c r="AH12" s="5">
        <v>12.57</v>
      </c>
      <c r="AI12" s="5">
        <f t="shared" si="10"/>
        <v>99.498202870160654</v>
      </c>
      <c r="AJ12" s="5">
        <v>114237.5</v>
      </c>
      <c r="AK12" s="5">
        <v>11.4</v>
      </c>
      <c r="AL12" s="5">
        <f t="shared" si="11"/>
        <v>99.902491495334459</v>
      </c>
      <c r="AM12" s="5">
        <v>114190.2</v>
      </c>
      <c r="AN12" s="5">
        <v>12.46</v>
      </c>
      <c r="AO12">
        <f t="shared" si="12"/>
        <v>99.86112690097859</v>
      </c>
    </row>
    <row r="13" spans="1:41" x14ac:dyDescent="0.3">
      <c r="A13" t="s">
        <v>31</v>
      </c>
      <c r="B13" s="5">
        <v>11286776</v>
      </c>
      <c r="C13" s="5">
        <v>11290114.300000001</v>
      </c>
      <c r="D13" s="10">
        <v>23.26</v>
      </c>
      <c r="E13" s="5">
        <f t="shared" si="0"/>
        <v>100.02957709092482</v>
      </c>
      <c r="F13" s="5">
        <v>11289279.85</v>
      </c>
      <c r="G13">
        <v>21.9</v>
      </c>
      <c r="H13" s="5">
        <f t="shared" si="1"/>
        <v>100.02218392568436</v>
      </c>
      <c r="I13" s="5">
        <v>11289395.199999999</v>
      </c>
      <c r="J13" t="s">
        <v>76</v>
      </c>
      <c r="K13" s="5">
        <f t="shared" si="2"/>
        <v>99.993630711072598</v>
      </c>
      <c r="L13" s="5">
        <v>114253</v>
      </c>
      <c r="M13" s="5">
        <v>22.19</v>
      </c>
      <c r="N13" s="5">
        <f t="shared" si="3"/>
        <v>1.0122731238752325</v>
      </c>
      <c r="O13" s="5">
        <v>11286057.720000001</v>
      </c>
      <c r="P13" s="5">
        <v>22.05</v>
      </c>
      <c r="Q13" s="5">
        <f t="shared" si="4"/>
        <v>99.993636092361541</v>
      </c>
      <c r="R13" s="5">
        <v>11289048.93</v>
      </c>
      <c r="S13" s="5">
        <v>22</v>
      </c>
      <c r="T13" s="5">
        <f t="shared" si="5"/>
        <v>100.02013799157527</v>
      </c>
      <c r="U13" s="5">
        <v>11273719.699999999</v>
      </c>
      <c r="V13" s="5">
        <v>22.32</v>
      </c>
      <c r="W13" s="5">
        <f t="shared" si="6"/>
        <v>99.884322148326504</v>
      </c>
      <c r="X13" s="5">
        <v>11284821.09</v>
      </c>
      <c r="Y13" s="5">
        <v>23.95</v>
      </c>
      <c r="Z13" s="5">
        <f t="shared" si="7"/>
        <v>99.982679642087348</v>
      </c>
      <c r="AA13" s="5">
        <v>11281650.130000001</v>
      </c>
      <c r="AB13" s="5">
        <v>21.96</v>
      </c>
      <c r="AC13" s="5">
        <f t="shared" si="8"/>
        <v>99.954585171177314</v>
      </c>
      <c r="AD13" s="5">
        <v>11280420.359999999</v>
      </c>
      <c r="AE13" s="5">
        <v>23.27</v>
      </c>
      <c r="AF13" s="5">
        <f t="shared" si="9"/>
        <v>99.943689499995386</v>
      </c>
      <c r="AG13" s="5">
        <v>11258415.23</v>
      </c>
      <c r="AH13" s="5">
        <v>23.48</v>
      </c>
      <c r="AI13" s="5">
        <f t="shared" si="10"/>
        <v>99.748725676845183</v>
      </c>
      <c r="AJ13" s="5">
        <v>11286031.02</v>
      </c>
      <c r="AK13" s="5">
        <v>22.11</v>
      </c>
      <c r="AL13" s="5">
        <f t="shared" si="11"/>
        <v>99.993399532337662</v>
      </c>
      <c r="AM13" s="5">
        <v>11281054.720000001</v>
      </c>
      <c r="AN13" s="5">
        <v>22.15</v>
      </c>
      <c r="AO13">
        <f t="shared" si="12"/>
        <v>99.949309882644968</v>
      </c>
    </row>
    <row r="14" spans="1:41" x14ac:dyDescent="0.3">
      <c r="A14" t="s">
        <v>32</v>
      </c>
      <c r="B14" s="5">
        <v>11290874</v>
      </c>
      <c r="C14" s="5">
        <v>11287318.4</v>
      </c>
      <c r="D14" s="5">
        <v>23.67</v>
      </c>
      <c r="E14" s="5">
        <f t="shared" si="0"/>
        <v>99.968509080873631</v>
      </c>
      <c r="F14" s="5">
        <v>11288984.92</v>
      </c>
      <c r="G14">
        <v>22.25</v>
      </c>
      <c r="H14" s="5">
        <f t="shared" si="1"/>
        <v>99.983268965715141</v>
      </c>
      <c r="I14" s="5">
        <v>11289052.4</v>
      </c>
      <c r="J14" t="s">
        <v>77</v>
      </c>
      <c r="K14" s="5">
        <f t="shared" si="2"/>
        <v>100.01536237340483</v>
      </c>
      <c r="L14" s="5">
        <v>11286655.82</v>
      </c>
      <c r="M14" s="5">
        <v>22.14</v>
      </c>
      <c r="N14" s="5">
        <f t="shared" si="3"/>
        <v>99.962640801766099</v>
      </c>
      <c r="O14" s="5">
        <v>11284356.18</v>
      </c>
      <c r="P14" s="5">
        <v>22.07</v>
      </c>
      <c r="Q14" s="5">
        <f t="shared" si="4"/>
        <v>99.942273556502357</v>
      </c>
      <c r="R14" s="5">
        <v>11290233.380000001</v>
      </c>
      <c r="S14" s="5">
        <v>22.01</v>
      </c>
      <c r="T14" s="5">
        <f t="shared" si="5"/>
        <v>99.994326214250549</v>
      </c>
      <c r="U14" s="5">
        <v>11273273.779999999</v>
      </c>
      <c r="V14" s="5">
        <v>22.01</v>
      </c>
      <c r="W14" s="5">
        <f t="shared" si="6"/>
        <v>99.844119950324483</v>
      </c>
      <c r="X14" s="5">
        <v>11288294.83</v>
      </c>
      <c r="Y14" s="5">
        <v>23.63</v>
      </c>
      <c r="Z14" s="5">
        <f t="shared" si="7"/>
        <v>99.977157038507386</v>
      </c>
      <c r="AA14" s="5">
        <v>11283655.9</v>
      </c>
      <c r="AB14" s="5">
        <v>22.04</v>
      </c>
      <c r="AC14" s="5">
        <f t="shared" si="8"/>
        <v>99.936071379416688</v>
      </c>
      <c r="AD14" s="5">
        <v>11282631.77</v>
      </c>
      <c r="AE14" s="5">
        <v>24.44</v>
      </c>
      <c r="AF14" s="5">
        <f t="shared" si="9"/>
        <v>99.927000956701846</v>
      </c>
      <c r="AG14" s="5">
        <v>11252922.92</v>
      </c>
      <c r="AH14" s="5">
        <v>23.83</v>
      </c>
      <c r="AI14" s="5">
        <f t="shared" si="10"/>
        <v>99.663878279041995</v>
      </c>
      <c r="AJ14" s="5">
        <v>11287186.65</v>
      </c>
      <c r="AK14" s="5">
        <v>22.14</v>
      </c>
      <c r="AL14" s="5">
        <f t="shared" si="11"/>
        <v>99.967342209292212</v>
      </c>
      <c r="AM14" s="5">
        <v>11280858.779999999</v>
      </c>
      <c r="AN14" s="5">
        <v>22.04</v>
      </c>
      <c r="AO14">
        <f t="shared" si="12"/>
        <v>99.911298097915179</v>
      </c>
    </row>
    <row r="15" spans="1:41" x14ac:dyDescent="0.3">
      <c r="A15" t="s">
        <v>33</v>
      </c>
      <c r="B15" s="5">
        <v>11292296</v>
      </c>
      <c r="C15" s="5">
        <v>11293574.300000001</v>
      </c>
      <c r="D15" s="5">
        <v>23.33</v>
      </c>
      <c r="E15" s="5">
        <f t="shared" si="0"/>
        <v>100.01132010708893</v>
      </c>
      <c r="F15" s="5">
        <v>11294937.24</v>
      </c>
      <c r="G15">
        <v>22.11</v>
      </c>
      <c r="H15" s="5">
        <f t="shared" si="1"/>
        <v>100.0233897517387</v>
      </c>
      <c r="I15" s="5">
        <v>11295323.300000001</v>
      </c>
      <c r="J15" t="s">
        <v>78</v>
      </c>
      <c r="K15" s="5">
        <f t="shared" si="2"/>
        <v>100.01548668254655</v>
      </c>
      <c r="L15" s="5">
        <v>11292032.5</v>
      </c>
      <c r="M15" s="5">
        <v>22.23</v>
      </c>
      <c r="N15" s="5">
        <f t="shared" si="3"/>
        <v>99.997666550717412</v>
      </c>
      <c r="O15" s="5">
        <v>11292885.029999999</v>
      </c>
      <c r="P15" s="5">
        <v>22.11</v>
      </c>
      <c r="Q15" s="5">
        <f t="shared" si="4"/>
        <v>100.00521621112306</v>
      </c>
      <c r="R15" s="5">
        <v>11296309.16</v>
      </c>
      <c r="S15" s="5">
        <v>21.97</v>
      </c>
      <c r="T15" s="5">
        <f t="shared" si="5"/>
        <v>100.03553891963158</v>
      </c>
      <c r="U15" s="5">
        <v>11278726.91</v>
      </c>
      <c r="V15" s="5">
        <v>22.06</v>
      </c>
      <c r="W15" s="5">
        <f t="shared" si="6"/>
        <v>99.879837634436782</v>
      </c>
      <c r="X15" s="5">
        <v>11294018.83</v>
      </c>
      <c r="Y15" s="5">
        <v>23.27</v>
      </c>
      <c r="Z15" s="5">
        <f t="shared" si="7"/>
        <v>100.01525668473444</v>
      </c>
      <c r="AA15" s="5">
        <v>11289073.029999999</v>
      </c>
      <c r="AB15" s="5">
        <v>22.03</v>
      </c>
      <c r="AC15" s="5">
        <f t="shared" si="8"/>
        <v>99.971458682981748</v>
      </c>
      <c r="AD15" s="5">
        <v>11283418.109999999</v>
      </c>
      <c r="AE15" s="5">
        <v>24.19</v>
      </c>
      <c r="AF15" s="5">
        <f t="shared" si="9"/>
        <v>99.9213810017024</v>
      </c>
      <c r="AG15" s="5">
        <v>11258444.08</v>
      </c>
      <c r="AH15" s="5">
        <v>23.85</v>
      </c>
      <c r="AI15" s="5">
        <f t="shared" si="10"/>
        <v>99.700221106495974</v>
      </c>
      <c r="AJ15" s="5">
        <v>11291737.41</v>
      </c>
      <c r="AK15" s="5">
        <v>22.04</v>
      </c>
      <c r="AL15" s="5">
        <f t="shared" si="11"/>
        <v>99.995053353188752</v>
      </c>
      <c r="AM15" s="5">
        <v>11292660.41</v>
      </c>
      <c r="AN15" s="5">
        <v>22.1</v>
      </c>
      <c r="AO15">
        <f t="shared" si="12"/>
        <v>100.00322706737407</v>
      </c>
    </row>
    <row r="16" spans="1:41" ht="15" x14ac:dyDescent="0.35">
      <c r="A16" s="2" t="s">
        <v>34</v>
      </c>
      <c r="B16" s="5">
        <v>11279916.060000001</v>
      </c>
      <c r="C16" s="5">
        <v>11281314</v>
      </c>
      <c r="D16" s="5">
        <v>23.63</v>
      </c>
      <c r="E16" s="5">
        <f>C16*100/B16</f>
        <v>100.01239317733008</v>
      </c>
      <c r="F16" s="5">
        <v>11282674.23</v>
      </c>
      <c r="G16">
        <v>21.96</v>
      </c>
      <c r="H16" s="5">
        <f t="shared" si="1"/>
        <v>100.02445204366174</v>
      </c>
      <c r="I16" s="5">
        <v>11281157.199999999</v>
      </c>
      <c r="J16" t="s">
        <v>79</v>
      </c>
      <c r="K16" s="5">
        <f t="shared" si="2"/>
        <v>99.998610090987626</v>
      </c>
      <c r="L16" s="5">
        <v>11281260.4</v>
      </c>
      <c r="M16" s="5">
        <v>22.11</v>
      </c>
      <c r="N16" s="5">
        <f t="shared" si="3"/>
        <v>100.01191799648906</v>
      </c>
      <c r="O16" s="5">
        <v>11279477.33</v>
      </c>
      <c r="P16" s="5">
        <v>22.1</v>
      </c>
      <c r="Q16" s="5">
        <f t="shared" si="4"/>
        <v>99.996110520701862</v>
      </c>
      <c r="R16" s="5">
        <v>11281170.550000001</v>
      </c>
      <c r="S16" s="5">
        <v>22.04</v>
      </c>
      <c r="T16" s="5">
        <f t="shared" si="5"/>
        <v>100.01112144800835</v>
      </c>
      <c r="U16" s="5">
        <v>11268307.83</v>
      </c>
      <c r="V16" s="5">
        <v>22.06</v>
      </c>
      <c r="W16" s="5">
        <f t="shared" si="6"/>
        <v>99.897089393766279</v>
      </c>
      <c r="X16" s="5">
        <v>11281044.43</v>
      </c>
      <c r="Y16" s="5">
        <v>24.03</v>
      </c>
      <c r="Z16" s="5">
        <f t="shared" si="7"/>
        <v>100.0100033545817</v>
      </c>
      <c r="AA16" s="5">
        <v>11278072.43</v>
      </c>
      <c r="AB16" s="5">
        <v>22.03</v>
      </c>
      <c r="AC16" s="5">
        <f t="shared" si="8"/>
        <v>99.983655640784974</v>
      </c>
      <c r="AD16" s="5">
        <v>11275429.1</v>
      </c>
      <c r="AE16" s="5">
        <v>24.09</v>
      </c>
      <c r="AF16" s="5">
        <f t="shared" si="9"/>
        <v>99.960221689805721</v>
      </c>
      <c r="AG16" s="5">
        <v>11255719.42</v>
      </c>
      <c r="AH16" s="5">
        <v>23.54</v>
      </c>
      <c r="AI16" s="5">
        <f t="shared" si="10"/>
        <v>99.785489183861884</v>
      </c>
      <c r="AJ16" s="5">
        <v>11280608.960000001</v>
      </c>
      <c r="AK16" s="5">
        <v>22.14</v>
      </c>
      <c r="AL16" s="5">
        <f t="shared" si="11"/>
        <v>100.00614277620785</v>
      </c>
      <c r="AM16" s="5">
        <v>11279360.15</v>
      </c>
      <c r="AN16" s="5">
        <v>22.07</v>
      </c>
      <c r="AO16">
        <f t="shared" si="12"/>
        <v>99.995071683184136</v>
      </c>
    </row>
    <row r="17" spans="1:41" x14ac:dyDescent="0.3">
      <c r="A17" t="s">
        <v>35</v>
      </c>
      <c r="B17" s="5">
        <v>11296415</v>
      </c>
      <c r="C17" s="5">
        <v>11297206.300000001</v>
      </c>
      <c r="D17" s="5">
        <v>23.34</v>
      </c>
      <c r="E17" s="5">
        <f t="shared" si="0"/>
        <v>100.00700487721105</v>
      </c>
      <c r="F17" s="5">
        <v>11297406.43</v>
      </c>
      <c r="G17">
        <v>22.08</v>
      </c>
      <c r="H17" s="5">
        <f t="shared" si="1"/>
        <v>100.00877650121743</v>
      </c>
      <c r="I17" s="5">
        <v>11296606</v>
      </c>
      <c r="J17" t="s">
        <v>80</v>
      </c>
      <c r="K17" s="5">
        <f t="shared" si="2"/>
        <v>99.994686296912178</v>
      </c>
      <c r="L17" s="5">
        <v>11296728.51</v>
      </c>
      <c r="M17" s="5">
        <v>22.14</v>
      </c>
      <c r="N17" s="5">
        <f t="shared" si="3"/>
        <v>100.00277530526277</v>
      </c>
      <c r="O17" s="5">
        <v>11295505.23</v>
      </c>
      <c r="P17" s="5">
        <v>22</v>
      </c>
      <c r="Q17" s="5">
        <f t="shared" si="4"/>
        <v>99.991946382989653</v>
      </c>
      <c r="R17" s="5">
        <v>11296953.66</v>
      </c>
      <c r="S17" s="5">
        <v>22.17</v>
      </c>
      <c r="T17" s="5">
        <f t="shared" si="5"/>
        <v>100.00476841546632</v>
      </c>
      <c r="U17" s="5">
        <v>11282741.470000001</v>
      </c>
      <c r="V17" s="5">
        <v>22.07</v>
      </c>
      <c r="W17" s="5">
        <f t="shared" si="6"/>
        <v>99.878956908010196</v>
      </c>
      <c r="X17" s="5">
        <v>11296265.59</v>
      </c>
      <c r="Y17" s="5">
        <v>23.68</v>
      </c>
      <c r="Z17" s="5">
        <f t="shared" si="7"/>
        <v>99.998677367996834</v>
      </c>
      <c r="AA17" s="5">
        <v>11294239.33</v>
      </c>
      <c r="AB17" s="5">
        <v>22.06</v>
      </c>
      <c r="AC17" s="5">
        <f t="shared" si="8"/>
        <v>99.980740172877859</v>
      </c>
      <c r="AD17" s="5">
        <v>11291087.26</v>
      </c>
      <c r="AE17" s="5">
        <v>23.61</v>
      </c>
      <c r="AF17" s="5">
        <f t="shared" si="9"/>
        <v>99.952836895599177</v>
      </c>
      <c r="AG17" s="5">
        <v>11259809.67</v>
      </c>
      <c r="AH17" s="5">
        <v>23.23</v>
      </c>
      <c r="AI17" s="5">
        <f t="shared" si="10"/>
        <v>99.67595622150921</v>
      </c>
      <c r="AJ17" s="5">
        <v>11294938.35</v>
      </c>
      <c r="AK17" s="5">
        <v>22.05</v>
      </c>
      <c r="AL17" s="5">
        <f t="shared" si="11"/>
        <v>99.986928153754974</v>
      </c>
      <c r="AM17" s="5">
        <v>11295312.51</v>
      </c>
      <c r="AN17" s="5">
        <v>22.21</v>
      </c>
      <c r="AO17">
        <f t="shared" si="12"/>
        <v>99.990240355015288</v>
      </c>
    </row>
    <row r="18" spans="1:41" x14ac:dyDescent="0.3">
      <c r="A18" t="s">
        <v>36</v>
      </c>
      <c r="B18" s="5">
        <v>11279820</v>
      </c>
      <c r="C18" s="5">
        <v>11282438</v>
      </c>
      <c r="D18" s="5">
        <v>23.16</v>
      </c>
      <c r="E18" s="5">
        <f t="shared" si="0"/>
        <v>100.02320959022396</v>
      </c>
      <c r="F18" s="5">
        <v>11282123.939999999</v>
      </c>
      <c r="G18">
        <v>22.27</v>
      </c>
      <c r="H18" s="5">
        <f t="shared" si="1"/>
        <v>100.02042532593605</v>
      </c>
      <c r="I18" s="5">
        <v>11282315.6</v>
      </c>
      <c r="J18" t="s">
        <v>81</v>
      </c>
      <c r="K18" s="5">
        <f t="shared" si="2"/>
        <v>99.998915128095547</v>
      </c>
      <c r="L18" s="5">
        <v>11280163.279999999</v>
      </c>
      <c r="M18" s="5">
        <v>22.13</v>
      </c>
      <c r="N18" s="5">
        <f t="shared" si="3"/>
        <v>100.00304331097482</v>
      </c>
      <c r="O18" s="5">
        <v>11277368.890000001</v>
      </c>
      <c r="P18" s="5">
        <v>22.03</v>
      </c>
      <c r="Q18" s="5">
        <f t="shared" si="4"/>
        <v>99.978269954662395</v>
      </c>
      <c r="R18" s="5">
        <v>11282484.109999999</v>
      </c>
      <c r="S18" s="5">
        <v>21.98</v>
      </c>
      <c r="T18" s="5">
        <f t="shared" si="5"/>
        <v>100.02361837334284</v>
      </c>
      <c r="U18" s="5">
        <v>11263244.58</v>
      </c>
      <c r="V18" s="5">
        <v>22.08</v>
      </c>
      <c r="W18" s="5">
        <f t="shared" si="6"/>
        <v>99.853052442326202</v>
      </c>
      <c r="X18" s="5">
        <v>11281030.02</v>
      </c>
      <c r="Y18" s="5">
        <v>23.38</v>
      </c>
      <c r="Z18" s="5">
        <f t="shared" si="7"/>
        <v>100.01072729883988</v>
      </c>
      <c r="AA18" s="5">
        <v>11277960.9</v>
      </c>
      <c r="AB18" s="5">
        <v>22.03</v>
      </c>
      <c r="AC18" s="5">
        <f t="shared" si="8"/>
        <v>99.983518354016283</v>
      </c>
      <c r="AD18" s="5">
        <v>11276205.699999999</v>
      </c>
      <c r="AE18" s="5">
        <v>23.61</v>
      </c>
      <c r="AF18" s="5">
        <f t="shared" si="9"/>
        <v>99.967957822021987</v>
      </c>
      <c r="AG18" s="5">
        <v>11245243.289999999</v>
      </c>
      <c r="AH18" s="5">
        <v>23.39</v>
      </c>
      <c r="AI18" s="5">
        <f t="shared" si="10"/>
        <v>99.693463991446677</v>
      </c>
      <c r="AJ18" s="5">
        <v>11280278.789999999</v>
      </c>
      <c r="AK18" s="5">
        <v>22.04</v>
      </c>
      <c r="AL18" s="5">
        <f t="shared" si="11"/>
        <v>100.00406735213859</v>
      </c>
      <c r="AM18" s="5">
        <v>11277285.529999999</v>
      </c>
      <c r="AN18" s="5">
        <v>22.16</v>
      </c>
      <c r="AO18">
        <f t="shared" si="12"/>
        <v>99.977530935777338</v>
      </c>
    </row>
    <row r="19" spans="1:41" x14ac:dyDescent="0.3">
      <c r="A19" t="s">
        <v>37</v>
      </c>
      <c r="B19" s="5">
        <v>11281245</v>
      </c>
      <c r="C19" s="5">
        <v>11288487.9</v>
      </c>
      <c r="D19" s="5">
        <v>22.94</v>
      </c>
      <c r="E19" s="5">
        <f t="shared" si="0"/>
        <v>100.06420302014538</v>
      </c>
      <c r="F19" s="5">
        <v>11287757.880000001</v>
      </c>
      <c r="G19">
        <v>22.58</v>
      </c>
      <c r="H19" s="5">
        <f t="shared" si="1"/>
        <v>100.05773192586456</v>
      </c>
      <c r="I19" s="5">
        <v>11287047.199999999</v>
      </c>
      <c r="J19" t="s">
        <v>82</v>
      </c>
      <c r="K19" s="5">
        <f t="shared" si="2"/>
        <v>99.98723744036613</v>
      </c>
      <c r="L19" s="5">
        <v>11288184.130000001</v>
      </c>
      <c r="M19" s="5">
        <v>22.03</v>
      </c>
      <c r="N19" s="5">
        <f t="shared" si="3"/>
        <v>100.061510320891</v>
      </c>
      <c r="O19" s="5">
        <v>11287447.35</v>
      </c>
      <c r="P19" s="5">
        <v>22.04</v>
      </c>
      <c r="Q19" s="5">
        <f t="shared" si="4"/>
        <v>100.05497930414595</v>
      </c>
      <c r="R19" s="5">
        <v>11287898.98</v>
      </c>
      <c r="S19" s="5">
        <v>21.95</v>
      </c>
      <c r="T19" s="5">
        <f t="shared" si="5"/>
        <v>100.05898267434135</v>
      </c>
      <c r="U19" s="5">
        <v>11270848.640000001</v>
      </c>
      <c r="V19" s="5">
        <v>22.07</v>
      </c>
      <c r="W19" s="5">
        <f t="shared" si="6"/>
        <v>99.907843859432177</v>
      </c>
      <c r="X19" s="5">
        <v>11287714.699999999</v>
      </c>
      <c r="Y19" s="5">
        <v>23.18</v>
      </c>
      <c r="Z19" s="5">
        <f t="shared" si="7"/>
        <v>100.05734916669215</v>
      </c>
      <c r="AA19" s="5">
        <v>11284797.699999999</v>
      </c>
      <c r="AB19" s="5">
        <v>22.06</v>
      </c>
      <c r="AC19" s="5">
        <f t="shared" si="8"/>
        <v>100.03149209152004</v>
      </c>
      <c r="AD19" s="5">
        <v>11282710.810000001</v>
      </c>
      <c r="AE19" s="5">
        <v>23.43</v>
      </c>
      <c r="AF19" s="5">
        <f t="shared" si="9"/>
        <v>100.0129933353987</v>
      </c>
      <c r="AG19" s="5">
        <v>11257161.800000001</v>
      </c>
      <c r="AH19" s="5">
        <v>23.32</v>
      </c>
      <c r="AI19" s="5">
        <f t="shared" si="10"/>
        <v>99.786520016186159</v>
      </c>
      <c r="AJ19" s="5">
        <v>11286076.279999999</v>
      </c>
      <c r="AK19" s="5">
        <v>22.07</v>
      </c>
      <c r="AL19" s="5">
        <f t="shared" si="11"/>
        <v>100.04282576967347</v>
      </c>
      <c r="AM19" s="5">
        <v>11282922.67</v>
      </c>
      <c r="AN19" s="5">
        <v>22.14</v>
      </c>
      <c r="AO19">
        <f t="shared" si="12"/>
        <v>100.01487131961056</v>
      </c>
    </row>
    <row r="20" spans="1:41" x14ac:dyDescent="0.3">
      <c r="A20" t="s">
        <v>38</v>
      </c>
      <c r="B20" s="5">
        <v>11289469.27</v>
      </c>
      <c r="C20" s="5">
        <v>11298109.199999999</v>
      </c>
      <c r="D20" s="5">
        <v>22.97</v>
      </c>
      <c r="E20" s="5">
        <f t="shared" si="0"/>
        <v>100.0765308784086</v>
      </c>
      <c r="F20" s="5">
        <v>11299968.5</v>
      </c>
      <c r="G20">
        <v>22.51</v>
      </c>
      <c r="H20" s="5">
        <f t="shared" si="1"/>
        <v>100.09300020885748</v>
      </c>
      <c r="I20" s="5">
        <v>11299096.4</v>
      </c>
      <c r="J20" t="s">
        <v>83</v>
      </c>
      <c r="K20" s="5">
        <f t="shared" si="2"/>
        <v>100.00873774525033</v>
      </c>
      <c r="L20" s="5">
        <v>11296771.58</v>
      </c>
      <c r="M20" s="5">
        <v>22.04</v>
      </c>
      <c r="N20" s="5">
        <f t="shared" si="3"/>
        <v>100.06468249149148</v>
      </c>
      <c r="O20" s="5">
        <v>11295482.439999999</v>
      </c>
      <c r="P20" s="5">
        <v>21.95</v>
      </c>
      <c r="Q20" s="5">
        <f t="shared" si="4"/>
        <v>100.05326353131568</v>
      </c>
      <c r="R20" s="5">
        <v>11299602.83</v>
      </c>
      <c r="S20" s="5">
        <v>21.91</v>
      </c>
      <c r="T20" s="5">
        <f t="shared" si="5"/>
        <v>100.08976117262597</v>
      </c>
      <c r="U20" s="5">
        <v>11285244.24</v>
      </c>
      <c r="V20" s="5">
        <v>22.07</v>
      </c>
      <c r="W20" s="5">
        <f t="shared" si="6"/>
        <v>99.962575477208418</v>
      </c>
      <c r="X20" s="5">
        <v>11297864.140000001</v>
      </c>
      <c r="Y20" s="5">
        <v>23.62</v>
      </c>
      <c r="Z20" s="5">
        <f t="shared" si="7"/>
        <v>100.07436018292117</v>
      </c>
      <c r="AA20" s="5">
        <v>11295342.83</v>
      </c>
      <c r="AB20" s="5">
        <v>22.09</v>
      </c>
      <c r="AC20" s="5">
        <f t="shared" si="8"/>
        <v>100.0520268921375</v>
      </c>
      <c r="AD20" s="5">
        <v>11290981.92</v>
      </c>
      <c r="AE20" s="5">
        <v>23.87</v>
      </c>
      <c r="AF20" s="5">
        <f t="shared" si="9"/>
        <v>100.01339876980772</v>
      </c>
      <c r="AG20" s="5">
        <v>11269355.310000001</v>
      </c>
      <c r="AH20" s="5">
        <v>23.12</v>
      </c>
      <c r="AI20" s="5">
        <f t="shared" si="10"/>
        <v>99.821834317283191</v>
      </c>
      <c r="AJ20" s="5">
        <v>11298504.17</v>
      </c>
      <c r="AK20" s="5">
        <v>21.99</v>
      </c>
      <c r="AL20" s="5">
        <f t="shared" si="11"/>
        <v>100.08002944854113</v>
      </c>
      <c r="AM20" s="5">
        <v>11295838.119999999</v>
      </c>
      <c r="AN20" s="5">
        <v>22.15</v>
      </c>
      <c r="AO20">
        <f t="shared" si="12"/>
        <v>100.05641407800209</v>
      </c>
    </row>
    <row r="21" spans="1:41" x14ac:dyDescent="0.3">
      <c r="A21" t="s">
        <v>39</v>
      </c>
      <c r="B21" s="5">
        <v>11288570.85</v>
      </c>
      <c r="C21" s="5">
        <v>11295043.199999999</v>
      </c>
      <c r="D21" s="5">
        <v>23.15</v>
      </c>
      <c r="E21" s="5">
        <f t="shared" si="0"/>
        <v>100.05733542435091</v>
      </c>
      <c r="F21" s="5">
        <v>11292868.17</v>
      </c>
      <c r="G21">
        <v>22.36</v>
      </c>
      <c r="H21" s="5">
        <f t="shared" si="1"/>
        <v>100.03806788350006</v>
      </c>
      <c r="I21" s="5">
        <v>11293317.5</v>
      </c>
      <c r="J21" t="s">
        <v>84</v>
      </c>
      <c r="K21" s="5">
        <f t="shared" si="2"/>
        <v>99.984721616646851</v>
      </c>
      <c r="L21" s="5">
        <v>11291935.359999999</v>
      </c>
      <c r="M21" s="5">
        <v>22.02</v>
      </c>
      <c r="N21" s="5">
        <f t="shared" si="3"/>
        <v>100.02980456999126</v>
      </c>
      <c r="O21" s="5">
        <v>11290194.810000001</v>
      </c>
      <c r="P21" s="5">
        <v>22.09</v>
      </c>
      <c r="Q21" s="5">
        <f t="shared" si="4"/>
        <v>100.01438587773049</v>
      </c>
      <c r="R21" s="5">
        <v>11294562.810000001</v>
      </c>
      <c r="S21" s="5">
        <v>21.74</v>
      </c>
      <c r="T21" s="5">
        <f t="shared" si="5"/>
        <v>100.05307988123226</v>
      </c>
      <c r="U21" s="5">
        <v>11279283.42</v>
      </c>
      <c r="V21" s="5">
        <v>22.01</v>
      </c>
      <c r="W21" s="5">
        <f t="shared" si="6"/>
        <v>99.917727140809859</v>
      </c>
      <c r="X21" s="5">
        <v>11293508</v>
      </c>
      <c r="Y21" s="5">
        <v>23.46</v>
      </c>
      <c r="Z21" s="5">
        <f t="shared" si="7"/>
        <v>100.04373582861466</v>
      </c>
      <c r="AA21" s="5">
        <v>11289439.98</v>
      </c>
      <c r="AB21" s="5">
        <v>22.05</v>
      </c>
      <c r="AC21" s="5">
        <f t="shared" si="8"/>
        <v>100.0076992031281</v>
      </c>
      <c r="AD21" s="5">
        <v>11288283.029999999</v>
      </c>
      <c r="AE21" s="5">
        <v>23.66</v>
      </c>
      <c r="AF21" s="5">
        <f t="shared" si="9"/>
        <v>99.99745034155498</v>
      </c>
      <c r="AG21" s="5">
        <v>11256037.039999999</v>
      </c>
      <c r="AH21" s="5">
        <v>23.52</v>
      </c>
      <c r="AI21" s="5">
        <f t="shared" si="10"/>
        <v>99.711798681761394</v>
      </c>
      <c r="AJ21" s="5">
        <v>11289048.380000001</v>
      </c>
      <c r="AK21" s="5">
        <v>22.18</v>
      </c>
      <c r="AL21" s="5">
        <f t="shared" si="11"/>
        <v>100.00423020775921</v>
      </c>
      <c r="AM21" s="5">
        <v>11289084.279999999</v>
      </c>
      <c r="AN21" s="5">
        <v>22.21</v>
      </c>
      <c r="AO21">
        <f t="shared" si="12"/>
        <v>100.00454822852974</v>
      </c>
    </row>
    <row r="22" spans="1:41" x14ac:dyDescent="0.3">
      <c r="A22" t="s">
        <v>40</v>
      </c>
      <c r="B22" s="5">
        <v>11307105</v>
      </c>
      <c r="C22" s="5">
        <v>11305855.6</v>
      </c>
      <c r="D22" s="5">
        <v>23.28</v>
      </c>
      <c r="E22" s="5">
        <f t="shared" si="0"/>
        <v>99.988950310446398</v>
      </c>
      <c r="F22" s="5">
        <v>11308328.84</v>
      </c>
      <c r="G22">
        <v>22.22</v>
      </c>
      <c r="H22" s="5">
        <f t="shared" si="1"/>
        <v>100.01082363699638</v>
      </c>
      <c r="I22" s="5">
        <v>11306833.6</v>
      </c>
      <c r="J22" t="s">
        <v>85</v>
      </c>
      <c r="K22" s="5">
        <f t="shared" si="2"/>
        <v>100.00865038467323</v>
      </c>
      <c r="L22" s="5">
        <v>11303831.84</v>
      </c>
      <c r="M22" s="5">
        <v>22.03</v>
      </c>
      <c r="N22" s="5">
        <f t="shared" si="3"/>
        <v>99.971052183560687</v>
      </c>
      <c r="O22" s="5">
        <v>11300207.26</v>
      </c>
      <c r="P22" s="5">
        <v>22.03</v>
      </c>
      <c r="Q22" s="5">
        <f t="shared" si="4"/>
        <v>99.93899640977952</v>
      </c>
      <c r="R22" s="5">
        <v>11307776.4</v>
      </c>
      <c r="S22" s="5">
        <v>21.98</v>
      </c>
      <c r="T22" s="5">
        <f t="shared" si="5"/>
        <v>100.00593785942556</v>
      </c>
      <c r="U22" s="5">
        <v>11288036.23</v>
      </c>
      <c r="V22" s="5">
        <v>23.2</v>
      </c>
      <c r="W22" s="5">
        <f t="shared" si="6"/>
        <v>99.83135585987749</v>
      </c>
      <c r="X22" s="5">
        <v>11307251.470000001</v>
      </c>
      <c r="Y22" s="5">
        <v>23.78</v>
      </c>
      <c r="Z22" s="5">
        <f t="shared" si="7"/>
        <v>100.00129538020563</v>
      </c>
      <c r="AA22" s="5">
        <v>11298838.24</v>
      </c>
      <c r="AB22" s="5">
        <v>21.96</v>
      </c>
      <c r="AC22" s="5">
        <f t="shared" si="8"/>
        <v>99.92688880133332</v>
      </c>
      <c r="AD22" s="5">
        <v>11297840.34</v>
      </c>
      <c r="AE22" s="5">
        <v>23.32</v>
      </c>
      <c r="AF22" s="5">
        <f t="shared" si="9"/>
        <v>99.918063376965193</v>
      </c>
      <c r="AG22" s="5">
        <v>11269937.43</v>
      </c>
      <c r="AH22" s="5">
        <v>23.29</v>
      </c>
      <c r="AI22" s="5">
        <f t="shared" si="10"/>
        <v>99.67129013129356</v>
      </c>
      <c r="AJ22" s="5">
        <v>11305473.23</v>
      </c>
      <c r="AK22" s="5">
        <v>22.08</v>
      </c>
      <c r="AL22" s="5">
        <f t="shared" si="11"/>
        <v>99.98556863140476</v>
      </c>
      <c r="AM22" s="5">
        <v>11300139.630000001</v>
      </c>
      <c r="AN22" s="5">
        <v>22.26</v>
      </c>
      <c r="AO22">
        <f t="shared" si="12"/>
        <v>99.938398290278542</v>
      </c>
    </row>
    <row r="23" spans="1:41" x14ac:dyDescent="0.3">
      <c r="A23" t="s">
        <v>0</v>
      </c>
      <c r="B23" s="7">
        <v>24905330</v>
      </c>
      <c r="C23" s="5">
        <v>24901685.600000001</v>
      </c>
      <c r="D23" s="5">
        <v>34.020000000000003</v>
      </c>
      <c r="E23" s="5">
        <f t="shared" si="0"/>
        <v>99.985366987709057</v>
      </c>
      <c r="F23" s="5">
        <v>24901879</v>
      </c>
      <c r="G23">
        <v>34.94</v>
      </c>
      <c r="H23" s="5">
        <f t="shared" si="1"/>
        <v>99.986143528313022</v>
      </c>
      <c r="I23">
        <v>24904061.699999999</v>
      </c>
      <c r="J23" t="s">
        <v>86</v>
      </c>
      <c r="K23" s="5">
        <f t="shared" si="2"/>
        <v>100.00954192434266</v>
      </c>
      <c r="L23" s="5">
        <v>24893907.699999999</v>
      </c>
      <c r="M23" s="5">
        <v>34.020000000000003</v>
      </c>
      <c r="N23" s="5">
        <f t="shared" si="3"/>
        <v>99.954137126470513</v>
      </c>
      <c r="O23" s="5">
        <v>24882225</v>
      </c>
      <c r="P23" s="5">
        <v>33.950000000000003</v>
      </c>
      <c r="Q23" s="5">
        <f t="shared" si="4"/>
        <v>99.907228693616986</v>
      </c>
      <c r="R23" s="5">
        <v>24898664</v>
      </c>
      <c r="S23" s="5">
        <v>34.01</v>
      </c>
      <c r="T23" s="5">
        <f t="shared" si="5"/>
        <v>99.973234644953507</v>
      </c>
      <c r="U23" s="5">
        <v>24862397.699999999</v>
      </c>
      <c r="V23" s="5">
        <v>35.380000000000003</v>
      </c>
      <c r="W23" s="5">
        <f t="shared" si="6"/>
        <v>99.827618023933027</v>
      </c>
      <c r="X23" s="5">
        <v>24899889.699999999</v>
      </c>
      <c r="Y23" s="5">
        <v>37.53</v>
      </c>
      <c r="Z23" s="5">
        <f t="shared" si="7"/>
        <v>99.978156081449228</v>
      </c>
      <c r="AA23" s="5">
        <v>24881530.800000001</v>
      </c>
      <c r="AB23" s="5">
        <v>33.82</v>
      </c>
      <c r="AC23" s="5">
        <f t="shared" si="8"/>
        <v>99.904441338460487</v>
      </c>
      <c r="AD23" s="5">
        <v>24887384</v>
      </c>
      <c r="AE23" s="5">
        <v>34.43</v>
      </c>
      <c r="AF23" s="5">
        <f t="shared" si="9"/>
        <v>99.927943135063856</v>
      </c>
      <c r="AG23" s="5">
        <v>24828798.199999999</v>
      </c>
      <c r="AH23" s="5">
        <v>36.700000000000003</v>
      </c>
      <c r="AI23" s="5">
        <f t="shared" si="10"/>
        <v>99.692709151013062</v>
      </c>
      <c r="AJ23" s="5">
        <v>24890490.100000001</v>
      </c>
      <c r="AK23" s="5">
        <v>34.17</v>
      </c>
      <c r="AL23" s="5">
        <f t="shared" si="11"/>
        <v>99.940414762623107</v>
      </c>
      <c r="AM23" s="5">
        <v>24884959.899999999</v>
      </c>
      <c r="AN23" s="5">
        <v>34.25</v>
      </c>
      <c r="AO23">
        <f t="shared" si="12"/>
        <v>99.918209877162838</v>
      </c>
    </row>
    <row r="24" spans="1:41" x14ac:dyDescent="0.3">
      <c r="A24" t="s">
        <v>1</v>
      </c>
      <c r="B24" s="7">
        <v>24900424</v>
      </c>
      <c r="C24" s="5">
        <v>24894903.100000001</v>
      </c>
      <c r="D24" s="5">
        <v>33.909999999999997</v>
      </c>
      <c r="E24" s="5">
        <f t="shared" si="0"/>
        <v>99.977828088389174</v>
      </c>
      <c r="F24" s="5">
        <v>24901136.199999999</v>
      </c>
      <c r="G24">
        <v>34.840000000000003</v>
      </c>
      <c r="H24" s="5">
        <f t="shared" si="1"/>
        <v>100.00286019226019</v>
      </c>
      <c r="I24">
        <v>24899345.899999999</v>
      </c>
      <c r="J24" t="s">
        <v>87</v>
      </c>
      <c r="K24" s="5">
        <f t="shared" si="2"/>
        <v>100.01784622330986</v>
      </c>
      <c r="L24" s="5">
        <v>24891894.5</v>
      </c>
      <c r="M24" s="5">
        <v>33.94</v>
      </c>
      <c r="N24" s="5">
        <f t="shared" si="3"/>
        <v>99.965745563208074</v>
      </c>
      <c r="O24" s="5">
        <v>24878565</v>
      </c>
      <c r="P24" s="5">
        <v>33.92</v>
      </c>
      <c r="Q24" s="5">
        <f t="shared" si="4"/>
        <v>99.912214346229604</v>
      </c>
      <c r="R24" s="5">
        <v>24897612</v>
      </c>
      <c r="S24" s="5">
        <v>33.85</v>
      </c>
      <c r="T24" s="5">
        <f t="shared" si="5"/>
        <v>99.988707019607375</v>
      </c>
      <c r="U24" s="5">
        <v>24856138</v>
      </c>
      <c r="V24" s="5">
        <v>35.200000000000003</v>
      </c>
      <c r="W24" s="5">
        <f t="shared" si="6"/>
        <v>99.82214760680381</v>
      </c>
      <c r="X24" s="5">
        <v>24897534.100000001</v>
      </c>
      <c r="Y24" s="5">
        <v>37.56</v>
      </c>
      <c r="Z24" s="5">
        <f t="shared" si="7"/>
        <v>99.988394173528931</v>
      </c>
      <c r="AA24" s="5">
        <v>24878479.399999999</v>
      </c>
      <c r="AB24" s="5">
        <v>34.14</v>
      </c>
      <c r="AC24" s="5">
        <f t="shared" si="8"/>
        <v>99.911870576982949</v>
      </c>
      <c r="AD24" s="5">
        <v>24880745.399999999</v>
      </c>
      <c r="AE24" s="5">
        <v>34.25</v>
      </c>
      <c r="AF24" s="5">
        <f t="shared" si="9"/>
        <v>99.920970823629347</v>
      </c>
      <c r="AG24" s="5">
        <v>24829847.800000001</v>
      </c>
      <c r="AH24" s="5">
        <v>36.82</v>
      </c>
      <c r="AI24" s="5">
        <f t="shared" si="10"/>
        <v>99.716566272124524</v>
      </c>
      <c r="AJ24" s="5">
        <v>24889712.899999999</v>
      </c>
      <c r="AK24" s="5">
        <v>33.729999999999997</v>
      </c>
      <c r="AL24" s="5">
        <f t="shared" si="11"/>
        <v>99.95698426661329</v>
      </c>
      <c r="AM24" s="5">
        <v>24883666.5</v>
      </c>
      <c r="AN24" s="5">
        <v>34.36</v>
      </c>
      <c r="AO24">
        <f t="shared" si="12"/>
        <v>99.93270194917163</v>
      </c>
    </row>
    <row r="25" spans="1:41" x14ac:dyDescent="0.3">
      <c r="A25" t="s">
        <v>2</v>
      </c>
      <c r="B25" s="7">
        <v>43465087</v>
      </c>
      <c r="C25" s="5">
        <v>43430159</v>
      </c>
      <c r="D25" s="5">
        <v>33.97</v>
      </c>
      <c r="E25" s="5">
        <f t="shared" si="0"/>
        <v>99.919641251379531</v>
      </c>
      <c r="F25" s="5">
        <v>43428181.600000001</v>
      </c>
      <c r="G25">
        <v>35.21</v>
      </c>
      <c r="H25" s="5">
        <f t="shared" si="1"/>
        <v>99.915091852916348</v>
      </c>
      <c r="I25">
        <v>43428610.100000001</v>
      </c>
      <c r="J25" t="s">
        <v>88</v>
      </c>
      <c r="K25" s="5">
        <f t="shared" si="2"/>
        <v>99.996433584320982</v>
      </c>
      <c r="L25" s="5">
        <v>43418850.899999999</v>
      </c>
      <c r="M25" s="5">
        <v>34.270000000000003</v>
      </c>
      <c r="N25" s="5">
        <f t="shared" si="3"/>
        <v>99.89362473840211</v>
      </c>
      <c r="O25" s="5">
        <v>43409362</v>
      </c>
      <c r="P25" s="5">
        <v>34.159999999999997</v>
      </c>
      <c r="Q25" s="5">
        <f t="shared" si="4"/>
        <v>99.871793653605252</v>
      </c>
      <c r="R25" s="5">
        <v>43431949</v>
      </c>
      <c r="S25" s="5">
        <v>34.29</v>
      </c>
      <c r="T25" s="5">
        <f t="shared" si="5"/>
        <v>99.923759499204493</v>
      </c>
      <c r="U25" s="5">
        <v>43381157</v>
      </c>
      <c r="V25" s="5">
        <v>36.119999999999997</v>
      </c>
      <c r="W25" s="5">
        <f t="shared" si="6"/>
        <v>99.80690249164806</v>
      </c>
      <c r="X25" s="5">
        <v>43433890.399999999</v>
      </c>
      <c r="Y25" s="5">
        <v>37.25</v>
      </c>
      <c r="Z25" s="5">
        <f t="shared" si="7"/>
        <v>99.928226072571761</v>
      </c>
      <c r="AA25" s="5">
        <v>43407300.600000001</v>
      </c>
      <c r="AB25" s="5">
        <v>34.5</v>
      </c>
      <c r="AC25" s="5">
        <f t="shared" si="8"/>
        <v>99.867050996584908</v>
      </c>
      <c r="AD25" s="5">
        <v>43410101.700000003</v>
      </c>
      <c r="AE25" s="5">
        <v>34.159999999999997</v>
      </c>
      <c r="AF25" s="5">
        <f t="shared" si="9"/>
        <v>99.873495479256718</v>
      </c>
      <c r="AG25" s="5">
        <v>43334706.600000001</v>
      </c>
      <c r="AH25" s="5">
        <v>36.4</v>
      </c>
      <c r="AI25" s="5">
        <f t="shared" si="10"/>
        <v>99.700034190659736</v>
      </c>
      <c r="AJ25" s="5">
        <v>43420274.399999999</v>
      </c>
      <c r="AK25" s="5">
        <v>33.9</v>
      </c>
      <c r="AL25" s="5">
        <f t="shared" si="11"/>
        <v>99.896899780736661</v>
      </c>
      <c r="AM25" s="5">
        <v>43407362.200000003</v>
      </c>
      <c r="AN25" s="5">
        <v>34.1</v>
      </c>
      <c r="AO25">
        <f t="shared" si="12"/>
        <v>99.867192719526827</v>
      </c>
    </row>
    <row r="26" spans="1:41" x14ac:dyDescent="0.3">
      <c r="A26" t="s">
        <v>3</v>
      </c>
      <c r="B26" s="7">
        <v>43437261</v>
      </c>
      <c r="C26" s="5">
        <v>43451979.200000003</v>
      </c>
      <c r="D26" s="5">
        <v>34.15</v>
      </c>
      <c r="E26" s="5">
        <f t="shared" si="0"/>
        <v>100.03388381233339</v>
      </c>
      <c r="F26" s="5">
        <v>43462768.399999999</v>
      </c>
      <c r="G26">
        <v>35.119999999999997</v>
      </c>
      <c r="H26" s="5">
        <f t="shared" si="1"/>
        <v>100.05872239504235</v>
      </c>
      <c r="I26">
        <v>43450682.5</v>
      </c>
      <c r="J26" t="s">
        <v>89</v>
      </c>
      <c r="K26" s="5">
        <f t="shared" si="2"/>
        <v>99.997015786107156</v>
      </c>
      <c r="L26" s="5">
        <v>43438848.700000003</v>
      </c>
      <c r="M26" s="5">
        <v>34.32</v>
      </c>
      <c r="N26" s="5">
        <f t="shared" si="3"/>
        <v>100.0036551568019</v>
      </c>
      <c r="O26" s="5">
        <v>43437071</v>
      </c>
      <c r="P26" s="5">
        <v>33.97</v>
      </c>
      <c r="Q26" s="5">
        <f t="shared" si="4"/>
        <v>99.999562587521339</v>
      </c>
      <c r="R26" s="5">
        <v>43453918</v>
      </c>
      <c r="S26" s="5">
        <v>33.67</v>
      </c>
      <c r="T26" s="5">
        <f t="shared" si="5"/>
        <v>100.03834726135241</v>
      </c>
      <c r="U26" s="5">
        <v>43383529</v>
      </c>
      <c r="V26" s="5">
        <v>34.520000000000003</v>
      </c>
      <c r="W26" s="5">
        <f t="shared" si="6"/>
        <v>99.876299751036328</v>
      </c>
      <c r="X26" s="5">
        <v>43454309.399999999</v>
      </c>
      <c r="Y26" s="5">
        <v>36.729999999999997</v>
      </c>
      <c r="Z26" s="5">
        <f t="shared" si="7"/>
        <v>100.03924833105845</v>
      </c>
      <c r="AA26" s="5">
        <v>43442227</v>
      </c>
      <c r="AB26" s="5">
        <v>34.19</v>
      </c>
      <c r="AC26" s="5">
        <f t="shared" si="8"/>
        <v>100.01143258088948</v>
      </c>
      <c r="AD26" s="5">
        <v>43439529.299999997</v>
      </c>
      <c r="AE26" s="5">
        <v>34.29</v>
      </c>
      <c r="AF26" s="5">
        <f t="shared" si="9"/>
        <v>100.00522201434386</v>
      </c>
      <c r="AG26" s="5">
        <v>43351899</v>
      </c>
      <c r="AH26" s="5">
        <v>36.68</v>
      </c>
      <c r="AI26" s="5">
        <f t="shared" si="10"/>
        <v>99.803482084194954</v>
      </c>
      <c r="AJ26" s="5">
        <v>43447550.700000003</v>
      </c>
      <c r="AK26" s="5">
        <v>33.770000000000003</v>
      </c>
      <c r="AL26" s="5">
        <f t="shared" si="11"/>
        <v>100.02368864832431</v>
      </c>
      <c r="AM26" s="5">
        <v>43437712.200000003</v>
      </c>
      <c r="AN26" s="5">
        <v>34.25</v>
      </c>
      <c r="AO26">
        <f t="shared" si="12"/>
        <v>100.00103873952825</v>
      </c>
    </row>
    <row r="27" spans="1:41" x14ac:dyDescent="0.3">
      <c r="A27" t="s">
        <v>4</v>
      </c>
      <c r="B27" s="7">
        <v>43476251</v>
      </c>
      <c r="C27" s="5">
        <v>43443934.5</v>
      </c>
      <c r="D27" s="5">
        <v>34.4</v>
      </c>
      <c r="E27" s="5">
        <f t="shared" si="0"/>
        <v>99.925668613883019</v>
      </c>
      <c r="F27" s="5">
        <v>43464564.600000001</v>
      </c>
      <c r="G27">
        <v>35.36</v>
      </c>
      <c r="H27" s="5">
        <f t="shared" si="1"/>
        <v>99.973120037419974</v>
      </c>
      <c r="I27">
        <v>43455542</v>
      </c>
      <c r="J27" t="s">
        <v>90</v>
      </c>
      <c r="K27" s="5">
        <f t="shared" si="2"/>
        <v>100.0267183443065</v>
      </c>
      <c r="L27" s="5">
        <v>43431936.600000001</v>
      </c>
      <c r="M27" s="5">
        <v>34.17</v>
      </c>
      <c r="N27" s="5">
        <f t="shared" si="3"/>
        <v>99.898072168182125</v>
      </c>
      <c r="O27" s="5">
        <v>43421737</v>
      </c>
      <c r="P27" s="5">
        <v>34.15</v>
      </c>
      <c r="Q27" s="5">
        <f t="shared" si="4"/>
        <v>99.874612003689094</v>
      </c>
      <c r="R27" s="5">
        <v>43457243</v>
      </c>
      <c r="S27" s="5">
        <v>33.9</v>
      </c>
      <c r="T27" s="5">
        <f t="shared" si="5"/>
        <v>99.956279578936091</v>
      </c>
      <c r="U27" s="5">
        <v>43374983</v>
      </c>
      <c r="V27" s="5">
        <v>36.76</v>
      </c>
      <c r="W27" s="5">
        <f t="shared" si="6"/>
        <v>99.767072832475833</v>
      </c>
      <c r="X27" s="5">
        <v>43457635.700000003</v>
      </c>
      <c r="Y27" s="5">
        <v>36.86</v>
      </c>
      <c r="Z27" s="5">
        <f t="shared" si="7"/>
        <v>99.957182830690712</v>
      </c>
      <c r="AA27" s="5">
        <v>43432488.5</v>
      </c>
      <c r="AB27" s="5">
        <v>34.119999999999997</v>
      </c>
      <c r="AC27" s="5">
        <f t="shared" si="8"/>
        <v>99.899341596864005</v>
      </c>
      <c r="AD27" s="5">
        <v>43410074.399999999</v>
      </c>
      <c r="AE27" s="5">
        <v>34.49</v>
      </c>
      <c r="AF27" s="5">
        <f t="shared" si="9"/>
        <v>99.847786783639648</v>
      </c>
      <c r="AG27" s="5">
        <v>43330402.799999997</v>
      </c>
      <c r="AH27" s="5">
        <v>36.909999999999997</v>
      </c>
      <c r="AI27" s="5">
        <f t="shared" si="10"/>
        <v>99.664533632396228</v>
      </c>
      <c r="AJ27" s="5">
        <v>43436043.200000003</v>
      </c>
      <c r="AK27" s="5">
        <v>34.01</v>
      </c>
      <c r="AL27" s="5">
        <f t="shared" si="11"/>
        <v>99.907517784824634</v>
      </c>
      <c r="AM27" s="5">
        <v>43419557.200000003</v>
      </c>
      <c r="AN27" s="5">
        <v>34.299999999999997</v>
      </c>
      <c r="AO27">
        <f t="shared" si="12"/>
        <v>99.869598231917465</v>
      </c>
    </row>
    <row r="28" spans="1:41" x14ac:dyDescent="0.3">
      <c r="A28" t="s">
        <v>5</v>
      </c>
      <c r="B28" s="8">
        <v>67021888</v>
      </c>
      <c r="C28" s="5">
        <v>66989903.100000001</v>
      </c>
      <c r="D28" s="5">
        <v>34.57</v>
      </c>
      <c r="E28" s="5">
        <f t="shared" si="0"/>
        <v>99.95227693376826</v>
      </c>
      <c r="F28" s="5">
        <v>66996454.100000001</v>
      </c>
      <c r="G28">
        <v>35.83</v>
      </c>
      <c r="H28" s="5">
        <f t="shared" si="1"/>
        <v>99.962051352537244</v>
      </c>
      <c r="I28">
        <v>66994799.799999997</v>
      </c>
      <c r="J28" t="s">
        <v>91</v>
      </c>
      <c r="K28" s="5">
        <f t="shared" si="2"/>
        <v>100.00730960902077</v>
      </c>
      <c r="L28" s="5">
        <v>66984569.700000003</v>
      </c>
      <c r="M28" s="5">
        <v>34.159999999999997</v>
      </c>
      <c r="N28" s="5">
        <f t="shared" si="3"/>
        <v>99.944319234934113</v>
      </c>
      <c r="O28" s="5">
        <v>66974056</v>
      </c>
      <c r="P28" s="5">
        <v>34.61</v>
      </c>
      <c r="Q28" s="5">
        <f t="shared" si="4"/>
        <v>99.928632270102568</v>
      </c>
      <c r="R28" s="5">
        <v>66993980</v>
      </c>
      <c r="S28" s="5">
        <v>33.979999999999997</v>
      </c>
      <c r="T28" s="5">
        <f t="shared" si="5"/>
        <v>99.958359871927215</v>
      </c>
      <c r="U28" s="5">
        <v>66927693</v>
      </c>
      <c r="V28" s="5">
        <v>37.86</v>
      </c>
      <c r="W28" s="5">
        <f t="shared" si="6"/>
        <v>99.859456361479999</v>
      </c>
      <c r="X28" s="5">
        <v>66997518.5</v>
      </c>
      <c r="Y28" s="5">
        <v>36.409999999999997</v>
      </c>
      <c r="Z28" s="5">
        <f t="shared" si="7"/>
        <v>99.963639490430353</v>
      </c>
      <c r="AA28" s="5">
        <v>66974908.799999997</v>
      </c>
      <c r="AB28" s="5">
        <v>34.22</v>
      </c>
      <c r="AC28" s="5">
        <f t="shared" si="8"/>
        <v>99.929904690240889</v>
      </c>
      <c r="AD28" s="5">
        <v>66961611.399999999</v>
      </c>
      <c r="AE28" s="5">
        <v>34.26</v>
      </c>
      <c r="AF28" s="5">
        <f t="shared" si="9"/>
        <v>99.910064306156215</v>
      </c>
      <c r="AG28" s="5">
        <v>66883643.899999999</v>
      </c>
      <c r="AH28" s="5">
        <v>37.229999999999997</v>
      </c>
      <c r="AI28" s="5">
        <f t="shared" si="10"/>
        <v>99.79373290707656</v>
      </c>
      <c r="AJ28" s="5">
        <v>66980378.100000001</v>
      </c>
      <c r="AK28" s="5">
        <v>34.5</v>
      </c>
      <c r="AL28" s="5">
        <f t="shared" si="11"/>
        <v>99.938065158653842</v>
      </c>
      <c r="AM28" s="5">
        <v>66972199</v>
      </c>
      <c r="AN28" s="5">
        <v>34.44</v>
      </c>
      <c r="AO28">
        <f t="shared" si="12"/>
        <v>99.925861533473963</v>
      </c>
    </row>
    <row r="29" spans="1:41" x14ac:dyDescent="0.3">
      <c r="A29" t="s">
        <v>6</v>
      </c>
      <c r="B29" s="7">
        <v>66979606</v>
      </c>
      <c r="C29" s="5">
        <v>67009901</v>
      </c>
      <c r="D29" s="5">
        <v>34.75</v>
      </c>
      <c r="E29" s="5">
        <f t="shared" si="0"/>
        <v>100.04523018543884</v>
      </c>
      <c r="F29" s="5">
        <v>67014886.700000003</v>
      </c>
      <c r="G29">
        <v>35.729999999999997</v>
      </c>
      <c r="H29" s="5">
        <f t="shared" si="1"/>
        <v>100.05267379446812</v>
      </c>
      <c r="I29">
        <v>67016469</v>
      </c>
      <c r="J29" t="s">
        <v>92</v>
      </c>
      <c r="K29" s="5">
        <f t="shared" si="2"/>
        <v>100.00980153664158</v>
      </c>
      <c r="L29" s="5">
        <v>66993734.200000003</v>
      </c>
      <c r="M29" s="5">
        <v>34.21</v>
      </c>
      <c r="N29" s="5">
        <f t="shared" si="3"/>
        <v>100.0210932862161</v>
      </c>
      <c r="O29" s="5">
        <v>66992273</v>
      </c>
      <c r="P29" s="5">
        <v>34.42</v>
      </c>
      <c r="Q29" s="5">
        <f t="shared" si="4"/>
        <v>100.01891172665303</v>
      </c>
      <c r="R29" s="5">
        <v>67011017</v>
      </c>
      <c r="S29" s="5">
        <v>34.36</v>
      </c>
      <c r="T29" s="5">
        <f t="shared" si="5"/>
        <v>100.04689636424555</v>
      </c>
      <c r="U29" s="5">
        <v>66947598</v>
      </c>
      <c r="V29" s="5">
        <v>37.75</v>
      </c>
      <c r="W29" s="5">
        <f t="shared" si="6"/>
        <v>99.952212319672356</v>
      </c>
      <c r="X29" s="5">
        <v>67013127.100000001</v>
      </c>
      <c r="Y29" s="5">
        <v>38.21</v>
      </c>
      <c r="Z29" s="5">
        <f t="shared" si="7"/>
        <v>100.05004672616319</v>
      </c>
      <c r="AA29" s="5">
        <v>66987853.299999997</v>
      </c>
      <c r="AB29" s="5">
        <v>33.89</v>
      </c>
      <c r="AC29" s="5">
        <f t="shared" si="8"/>
        <v>100.01231315096121</v>
      </c>
      <c r="AD29" s="5">
        <v>66972607</v>
      </c>
      <c r="AE29" s="5">
        <v>34.380000000000003</v>
      </c>
      <c r="AF29" s="5">
        <f t="shared" si="9"/>
        <v>99.989550550655679</v>
      </c>
      <c r="AG29" s="5">
        <v>66900061.5</v>
      </c>
      <c r="AH29" s="5">
        <v>37.159999999999997</v>
      </c>
      <c r="AI29" s="5">
        <f t="shared" si="10"/>
        <v>99.881240716763841</v>
      </c>
      <c r="AJ29" s="5">
        <v>66999356.200000003</v>
      </c>
      <c r="AK29" s="5">
        <v>34.28</v>
      </c>
      <c r="AL29" s="5">
        <f t="shared" si="11"/>
        <v>100.02948688590375</v>
      </c>
      <c r="AM29" s="5">
        <v>66987272.200000003</v>
      </c>
      <c r="AN29" s="5">
        <v>34.630000000000003</v>
      </c>
      <c r="AO29">
        <f t="shared" si="12"/>
        <v>100.01144557344813</v>
      </c>
    </row>
    <row r="30" spans="1:41" x14ac:dyDescent="0.3">
      <c r="A30" t="s">
        <v>7</v>
      </c>
      <c r="B30" s="8">
        <v>95556435</v>
      </c>
      <c r="C30" s="5">
        <v>95621133.799999997</v>
      </c>
      <c r="D30" s="5">
        <v>34.799999999999997</v>
      </c>
      <c r="E30" s="5">
        <f t="shared" si="0"/>
        <v>100.06770742336714</v>
      </c>
      <c r="F30" s="5">
        <v>95620809.200000003</v>
      </c>
      <c r="G30">
        <v>35.979999999999997</v>
      </c>
      <c r="H30" s="5">
        <f t="shared" si="1"/>
        <v>100.06736772881911</v>
      </c>
      <c r="I30">
        <v>95626473.5</v>
      </c>
      <c r="J30" t="s">
        <v>93</v>
      </c>
      <c r="K30" s="5">
        <f t="shared" si="2"/>
        <v>100.005584225775</v>
      </c>
      <c r="L30" s="5">
        <v>95610420.900000006</v>
      </c>
      <c r="M30" s="5">
        <v>34.479999999999997</v>
      </c>
      <c r="N30" s="5">
        <f t="shared" si="3"/>
        <v>100.0564963521295</v>
      </c>
      <c r="O30" s="5">
        <v>95591267</v>
      </c>
      <c r="P30" s="5">
        <v>34.4</v>
      </c>
      <c r="Q30" s="5">
        <f t="shared" si="4"/>
        <v>100.03645175753994</v>
      </c>
      <c r="R30" s="5">
        <v>95623943</v>
      </c>
      <c r="S30" s="5">
        <v>34.31</v>
      </c>
      <c r="T30" s="5">
        <f t="shared" si="5"/>
        <v>100.07064725677554</v>
      </c>
      <c r="U30" s="5">
        <v>95562345</v>
      </c>
      <c r="V30" s="5">
        <v>37.950000000000003</v>
      </c>
      <c r="W30" s="5">
        <f t="shared" si="6"/>
        <v>100.00618482679894</v>
      </c>
      <c r="X30" s="5">
        <v>95613471</v>
      </c>
      <c r="Y30" s="5">
        <v>38.119999999999997</v>
      </c>
      <c r="Z30" s="5">
        <f t="shared" si="7"/>
        <v>100.05968828786884</v>
      </c>
      <c r="AA30" s="5">
        <v>95591975.5</v>
      </c>
      <c r="AB30" s="5">
        <v>34.409999999999997</v>
      </c>
      <c r="AC30" s="5">
        <f t="shared" si="8"/>
        <v>100.0371932042044</v>
      </c>
      <c r="AD30" s="5">
        <v>95584984</v>
      </c>
      <c r="AE30" s="5">
        <v>34.42</v>
      </c>
      <c r="AF30" s="5">
        <f t="shared" si="9"/>
        <v>100.02987658549631</v>
      </c>
      <c r="AG30" s="5">
        <v>95501906</v>
      </c>
      <c r="AH30" s="5">
        <v>35.99</v>
      </c>
      <c r="AI30" s="5">
        <f t="shared" si="10"/>
        <v>99.942935292636236</v>
      </c>
      <c r="AJ30" s="5">
        <v>95597659.099999994</v>
      </c>
      <c r="AK30" s="5">
        <v>34.130000000000003</v>
      </c>
      <c r="AL30" s="5">
        <f t="shared" si="11"/>
        <v>100.04314110295137</v>
      </c>
      <c r="AM30" s="5">
        <v>95586794.200000003</v>
      </c>
      <c r="AN30" s="5">
        <v>34.82</v>
      </c>
      <c r="AO30">
        <f t="shared" si="12"/>
        <v>100.03177096341027</v>
      </c>
    </row>
    <row r="31" spans="1:41" x14ac:dyDescent="0.3">
      <c r="A31" t="s">
        <v>8</v>
      </c>
      <c r="B31" s="7">
        <v>95629207</v>
      </c>
      <c r="C31" s="5">
        <v>95511829.299999997</v>
      </c>
      <c r="D31" s="5">
        <v>34.97</v>
      </c>
      <c r="E31" s="5">
        <f t="shared" si="0"/>
        <v>99.877257478460535</v>
      </c>
      <c r="F31" s="5">
        <v>95515440.099999994</v>
      </c>
      <c r="G31">
        <v>35.94</v>
      </c>
      <c r="H31" s="5">
        <f t="shared" si="1"/>
        <v>99.881033312343575</v>
      </c>
      <c r="I31">
        <v>95516151.299999997</v>
      </c>
      <c r="J31" t="s">
        <v>94</v>
      </c>
      <c r="K31" s="5">
        <f t="shared" si="2"/>
        <v>100.00452509394039</v>
      </c>
      <c r="L31" s="5">
        <v>95502325.799999997</v>
      </c>
      <c r="M31" s="5">
        <v>34.93</v>
      </c>
      <c r="N31" s="5">
        <f t="shared" si="3"/>
        <v>99.867319615020961</v>
      </c>
      <c r="O31" s="5">
        <v>95490122</v>
      </c>
      <c r="P31" s="5">
        <v>34.82</v>
      </c>
      <c r="Q31" s="5">
        <f t="shared" si="4"/>
        <v>99.854558032673012</v>
      </c>
      <c r="R31" s="5">
        <v>95508722</v>
      </c>
      <c r="S31" s="5">
        <v>34.549999999999997</v>
      </c>
      <c r="T31" s="5">
        <f t="shared" si="5"/>
        <v>99.874008157361374</v>
      </c>
      <c r="U31" s="5">
        <v>95439613</v>
      </c>
      <c r="V31" s="5">
        <v>36.11</v>
      </c>
      <c r="W31" s="5">
        <f t="shared" si="6"/>
        <v>99.801740487087798</v>
      </c>
      <c r="X31" s="5">
        <v>95510205.5</v>
      </c>
      <c r="Y31" s="5">
        <v>37.61</v>
      </c>
      <c r="Z31" s="5">
        <f t="shared" si="7"/>
        <v>99.875559461661126</v>
      </c>
      <c r="AA31" s="5">
        <v>95478999</v>
      </c>
      <c r="AB31" s="5">
        <v>34.409999999999997</v>
      </c>
      <c r="AC31" s="5">
        <f t="shared" si="8"/>
        <v>99.842926648968245</v>
      </c>
      <c r="AD31" s="5">
        <v>95473546.5</v>
      </c>
      <c r="AE31" s="5">
        <v>34.409999999999997</v>
      </c>
      <c r="AF31" s="5">
        <f t="shared" si="9"/>
        <v>99.837224939029355</v>
      </c>
      <c r="AG31" s="5">
        <v>95399921.200000003</v>
      </c>
      <c r="AH31" s="5">
        <v>36.6</v>
      </c>
      <c r="AI31" s="5">
        <f t="shared" si="10"/>
        <v>99.760234548426197</v>
      </c>
      <c r="AJ31" s="5">
        <v>95493863.599999994</v>
      </c>
      <c r="AK31" s="5">
        <v>34.479999999999997</v>
      </c>
      <c r="AL31" s="5">
        <f t="shared" si="11"/>
        <v>99.858470644852261</v>
      </c>
      <c r="AM31" s="5">
        <v>95476234</v>
      </c>
      <c r="AN31" s="5">
        <v>34.630000000000003</v>
      </c>
      <c r="AO31">
        <f t="shared" si="12"/>
        <v>99.840035272905695</v>
      </c>
    </row>
    <row r="32" spans="1:41" x14ac:dyDescent="0.3">
      <c r="A32" t="s">
        <v>9</v>
      </c>
      <c r="B32" s="9">
        <v>95643586</v>
      </c>
      <c r="C32" s="5">
        <v>95568207.299999997</v>
      </c>
      <c r="D32">
        <v>34.950000000000003</v>
      </c>
      <c r="E32" s="5">
        <f t="shared" si="0"/>
        <v>99.921187919491018</v>
      </c>
      <c r="F32" s="5">
        <v>95573200.5</v>
      </c>
      <c r="G32">
        <v>36.11</v>
      </c>
      <c r="H32" s="5">
        <f t="shared" si="1"/>
        <v>99.926408551849988</v>
      </c>
      <c r="I32">
        <v>95573812.400000006</v>
      </c>
      <c r="J32" t="s">
        <v>95</v>
      </c>
      <c r="K32" s="5">
        <f t="shared" si="2"/>
        <v>100.00586502578457</v>
      </c>
      <c r="L32" s="5">
        <v>95553543.5</v>
      </c>
      <c r="M32" s="5">
        <v>34.89</v>
      </c>
      <c r="N32" s="5">
        <f t="shared" si="3"/>
        <v>99.905856206604383</v>
      </c>
      <c r="O32" s="5">
        <v>95552313</v>
      </c>
      <c r="P32" s="5">
        <v>34.64</v>
      </c>
      <c r="Q32" s="5">
        <f t="shared" si="4"/>
        <v>99.904569659276476</v>
      </c>
      <c r="R32" s="5">
        <v>95575492</v>
      </c>
      <c r="S32" s="5">
        <v>34.43</v>
      </c>
      <c r="T32" s="5">
        <f t="shared" si="5"/>
        <v>99.928804426049012</v>
      </c>
      <c r="U32" s="5">
        <v>95494256</v>
      </c>
      <c r="V32" s="5">
        <v>36.6</v>
      </c>
      <c r="W32" s="5">
        <f t="shared" si="6"/>
        <v>99.843868254793378</v>
      </c>
      <c r="X32" s="5">
        <v>95569788.200000003</v>
      </c>
      <c r="Y32" s="5">
        <v>39.36</v>
      </c>
      <c r="Z32" s="5">
        <f t="shared" si="7"/>
        <v>99.922840826984469</v>
      </c>
      <c r="AA32" s="5">
        <v>95544451.900000006</v>
      </c>
      <c r="AB32" s="5">
        <v>34.32</v>
      </c>
      <c r="AC32" s="5">
        <f t="shared" si="8"/>
        <v>99.896350498610545</v>
      </c>
      <c r="AD32" s="5">
        <v>95536580.099999994</v>
      </c>
      <c r="AE32" s="5">
        <v>34.49</v>
      </c>
      <c r="AF32" s="5">
        <f t="shared" si="9"/>
        <v>99.88812015057654</v>
      </c>
      <c r="AG32" s="5">
        <v>95456601.099999994</v>
      </c>
      <c r="AH32" s="5">
        <v>35.229999999999997</v>
      </c>
      <c r="AI32" s="5">
        <f t="shared" si="10"/>
        <v>99.804498233681869</v>
      </c>
      <c r="AJ32" s="5">
        <v>95556551.200000003</v>
      </c>
      <c r="AK32" s="5">
        <v>34.75</v>
      </c>
      <c r="AL32" s="5">
        <f t="shared" si="11"/>
        <v>99.909000902580132</v>
      </c>
      <c r="AM32" s="5">
        <v>95543043.299999997</v>
      </c>
      <c r="AN32" s="5">
        <v>34.21</v>
      </c>
      <c r="AO32">
        <f t="shared" si="12"/>
        <v>99.894877739109447</v>
      </c>
    </row>
    <row r="33" spans="29:29" x14ac:dyDescent="0.3">
      <c r="AC33" s="5"/>
    </row>
  </sheetData>
  <mergeCells count="15">
    <mergeCell ref="O1:Q1"/>
    <mergeCell ref="R1:T1"/>
    <mergeCell ref="U1:W1"/>
    <mergeCell ref="X1:Z1"/>
    <mergeCell ref="B1:B2"/>
    <mergeCell ref="A1:A2"/>
    <mergeCell ref="C1:E1"/>
    <mergeCell ref="F1:H1"/>
    <mergeCell ref="I1:K1"/>
    <mergeCell ref="L1:N1"/>
    <mergeCell ref="AA1:AC1"/>
    <mergeCell ref="AD1:AF1"/>
    <mergeCell ref="AG1:AI1"/>
    <mergeCell ref="AJ1:AL1"/>
    <mergeCell ref="AM1:AO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2364-23F3-4508-A7B8-9D41EA4AC02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9AD5-773A-40C5-AC89-4941E6363963}">
  <dimension ref="A1"/>
  <sheetViews>
    <sheetView tabSelected="1" topLeftCell="D1" workbookViewId="0">
      <selection activeCell="R6" sqref="R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 martinez tanchela</cp:lastModifiedBy>
  <dcterms:created xsi:type="dcterms:W3CDTF">2025-08-05T23:36:06Z</dcterms:created>
  <dcterms:modified xsi:type="dcterms:W3CDTF">2025-10-23T01:36:17Z</dcterms:modified>
</cp:coreProperties>
</file>